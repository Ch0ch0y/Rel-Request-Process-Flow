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kor-my.sharepoint.com/personal/celia_corpuz_amkor_com/Documents/2025/Rel Monitor/report/AWW/Q4'25/"/>
    </mc:Choice>
  </mc:AlternateContent>
  <xr:revisionPtr revIDLastSave="3718" documentId="11_73C516C882466AF289C46562FBC65173C91BCCB2" xr6:coauthVersionLast="47" xr6:coauthVersionMax="47" xr10:uidLastSave="{C4D77AB5-6571-4AA4-A913-1C65A3507CFF}"/>
  <bookViews>
    <workbookView xWindow="-110" yWindow="-110" windowWidth="19420" windowHeight="10300" tabRatio="835" xr2:uid="{00000000-000D-0000-FFFF-FFFF00000000}"/>
  </bookViews>
  <sheets>
    <sheet name="CABGA (Au)" sheetId="9" r:id="rId1"/>
    <sheet name="CABGA (PCC)" sheetId="8" r:id="rId2"/>
    <sheet name="CABGA (Automotive - Au)" sheetId="1" r:id="rId3"/>
    <sheet name="CABGA (Automotive - Cu)" sheetId="22" r:id="rId4"/>
    <sheet name="PBGA (Au)" sheetId="11" r:id="rId5"/>
    <sheet name="PBGA (PCC)" sheetId="23" r:id="rId6"/>
    <sheet name="PBGA (Automotive - Au)" sheetId="12" r:id="rId7"/>
    <sheet name="sMLF (Au)" sheetId="14" r:id="rId8"/>
    <sheet name="sMLF (Bare Cu)" sheetId="3" r:id="rId9"/>
    <sheet name="sMLF (PCC)" sheetId="2" r:id="rId10"/>
    <sheet name="sMLF (Automotive-Au)" sheetId="4" r:id="rId11"/>
    <sheet name="PowerMLF (Au)" sheetId="15" r:id="rId12"/>
    <sheet name="PowerMLF (PCC)" sheetId="16" r:id="rId13"/>
    <sheet name="SiP-CA" sheetId="17" r:id="rId14"/>
    <sheet name="MODULES" sheetId="18" r:id="rId15"/>
    <sheet name="MODULES (Automotive-Au)" sheetId="24" r:id="rId16"/>
  </sheets>
  <definedNames>
    <definedName name="_xlnm._FilterDatabase" localSheetId="3" hidden="1">'CABGA (Automotive - Cu)'!#REF!</definedName>
    <definedName name="_xlnm.Print_Area" localSheetId="0">'CABGA (Au)'!$A$1:$AU$57</definedName>
    <definedName name="_xlnm.Print_Area" localSheetId="2">'CABGA (Automotive - Au)'!$A$1:$AW$47</definedName>
    <definedName name="_xlnm.Print_Area" localSheetId="3">'CABGA (Automotive - Cu)'!$A$1:$AW$30</definedName>
    <definedName name="_xlnm.Print_Area" localSheetId="1">'CABGA (PCC)'!$A$1:$AU$43</definedName>
    <definedName name="_xlnm.Print_Area" localSheetId="14">MODULES!$A$1:$AU$62</definedName>
    <definedName name="_xlnm.Print_Area" localSheetId="15">'MODULES (Automotive-Au)'!$A$1:$AU$62</definedName>
    <definedName name="_xlnm.Print_Area" localSheetId="4">'PBGA (Au)'!$A$1:$AU$36</definedName>
    <definedName name="_xlnm.Print_Area" localSheetId="6">'PBGA (Automotive - Au)'!$A$1:$AW$37</definedName>
    <definedName name="_xlnm.Print_Area" localSheetId="5">'PBGA (PCC)'!$A$1:$AU$36</definedName>
    <definedName name="_xlnm.Print_Area" localSheetId="11">'PowerMLF (Au)'!$A$1:$AX$39</definedName>
    <definedName name="_xlnm.Print_Area" localSheetId="12">'PowerMLF (PCC)'!$A$1:$AX$30</definedName>
    <definedName name="_xlnm.Print_Area" localSheetId="13">'SiP-CA'!$A$1:$AU$35</definedName>
    <definedName name="_xlnm.Print_Area" localSheetId="7">'sMLF (Au)'!$A$1:$BA$36</definedName>
    <definedName name="_xlnm.Print_Area" localSheetId="10">'sMLF (Automotive-Au)'!$A$1:$BC$30</definedName>
    <definedName name="_xlnm.Print_Area" localSheetId="8">'sMLF (Bare Cu)'!$A$1:$BA$35</definedName>
    <definedName name="_xlnm.Print_Area" localSheetId="9">'sMLF (PCC)'!$A$1:$BA$54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2" i="24" l="1"/>
  <c r="BG62" i="24"/>
  <c r="BF62" i="24"/>
  <c r="AL60" i="24"/>
  <c r="AK60" i="24"/>
  <c r="AH60" i="24"/>
  <c r="AG60" i="24"/>
  <c r="AF60" i="24"/>
  <c r="AE60" i="24"/>
  <c r="AD60" i="24"/>
  <c r="AC60" i="24"/>
  <c r="AB60" i="24"/>
  <c r="AA60" i="24"/>
  <c r="X60" i="24"/>
  <c r="W60" i="24"/>
  <c r="V60" i="24"/>
  <c r="U60" i="24"/>
  <c r="T60" i="24"/>
  <c r="S60" i="24"/>
  <c r="AS59" i="24"/>
  <c r="AL59" i="24"/>
  <c r="AK59" i="24"/>
  <c r="AH59" i="24"/>
  <c r="AG59" i="24"/>
  <c r="AF59" i="24"/>
  <c r="AE59" i="24"/>
  <c r="AD59" i="24"/>
  <c r="AC59" i="24"/>
  <c r="AB59" i="24"/>
  <c r="AA59" i="24"/>
  <c r="X59" i="24"/>
  <c r="W59" i="24"/>
  <c r="V59" i="24"/>
  <c r="U59" i="24"/>
  <c r="T59" i="24"/>
  <c r="S59" i="24"/>
  <c r="AS58" i="24"/>
  <c r="AR58" i="24"/>
  <c r="AL58" i="24"/>
  <c r="AK58" i="24"/>
  <c r="AH58" i="24"/>
  <c r="AG58" i="24"/>
  <c r="AF58" i="24"/>
  <c r="AE58" i="24"/>
  <c r="AD58" i="24"/>
  <c r="AC58" i="24"/>
  <c r="AB58" i="24"/>
  <c r="AA58" i="24"/>
  <c r="X58" i="24"/>
  <c r="W58" i="24"/>
  <c r="V58" i="24"/>
  <c r="U58" i="24"/>
  <c r="T58" i="24"/>
  <c r="S58" i="24"/>
  <c r="BH57" i="24"/>
  <c r="AS62" i="24" s="1"/>
  <c r="BE57" i="24"/>
  <c r="AS61" i="24" s="1"/>
  <c r="BB57" i="24"/>
  <c r="AS60" i="24" s="1"/>
  <c r="BA57" i="24"/>
  <c r="AR60" i="24" s="1"/>
  <c r="AZ57" i="24"/>
  <c r="AQ60" i="24" s="1"/>
  <c r="AY57" i="24"/>
  <c r="AL57" i="24"/>
  <c r="AK57" i="24"/>
  <c r="AK61" i="24" s="1"/>
  <c r="AH57" i="24"/>
  <c r="AG57" i="24"/>
  <c r="AF57" i="24"/>
  <c r="AE57" i="24"/>
  <c r="AD57" i="24"/>
  <c r="AC57" i="24"/>
  <c r="AB57" i="24"/>
  <c r="AB61" i="24" s="1"/>
  <c r="AA57" i="24"/>
  <c r="AA61" i="24" s="1"/>
  <c r="X57" i="24"/>
  <c r="W57" i="24"/>
  <c r="V57" i="24"/>
  <c r="U57" i="24"/>
  <c r="T57" i="24"/>
  <c r="S57" i="24"/>
  <c r="BG55" i="24"/>
  <c r="BF55" i="24"/>
  <c r="BD55" i="24"/>
  <c r="BC55" i="24"/>
  <c r="AX55" i="24"/>
  <c r="AW55" i="24"/>
  <c r="BG54" i="24"/>
  <c r="BF54" i="24"/>
  <c r="BD54" i="24"/>
  <c r="BC54" i="24"/>
  <c r="AX54" i="24"/>
  <c r="AW54" i="24"/>
  <c r="BG53" i="24"/>
  <c r="BF53" i="24"/>
  <c r="BD53" i="24"/>
  <c r="BC53" i="24"/>
  <c r="AX53" i="24"/>
  <c r="AW53" i="24"/>
  <c r="BG52" i="24"/>
  <c r="BF52" i="24"/>
  <c r="BD52" i="24"/>
  <c r="BC52" i="24"/>
  <c r="AX52" i="24"/>
  <c r="AW52" i="24"/>
  <c r="BG51" i="24"/>
  <c r="BF51" i="24"/>
  <c r="BD51" i="24"/>
  <c r="BC51" i="24"/>
  <c r="AX51" i="24"/>
  <c r="AW51" i="24"/>
  <c r="BG50" i="24"/>
  <c r="BF50" i="24"/>
  <c r="BD50" i="24"/>
  <c r="BC50" i="24"/>
  <c r="AX50" i="24"/>
  <c r="AW50" i="24"/>
  <c r="BG49" i="24"/>
  <c r="BF49" i="24"/>
  <c r="BD49" i="24"/>
  <c r="BC49" i="24"/>
  <c r="AX49" i="24"/>
  <c r="AW49" i="24"/>
  <c r="BG48" i="24"/>
  <c r="BF48" i="24"/>
  <c r="BD48" i="24"/>
  <c r="BC48" i="24"/>
  <c r="AX48" i="24"/>
  <c r="AW48" i="24"/>
  <c r="BG47" i="24"/>
  <c r="BF47" i="24"/>
  <c r="BD47" i="24"/>
  <c r="BC47" i="24"/>
  <c r="AX47" i="24"/>
  <c r="AW47" i="24"/>
  <c r="BG46" i="24"/>
  <c r="BF46" i="24"/>
  <c r="BD46" i="24"/>
  <c r="BC46" i="24"/>
  <c r="AX46" i="24"/>
  <c r="AW46" i="24"/>
  <c r="BG45" i="24"/>
  <c r="BF45" i="24"/>
  <c r="BD45" i="24"/>
  <c r="BC45" i="24"/>
  <c r="AX45" i="24"/>
  <c r="AW45" i="24"/>
  <c r="BG44" i="24"/>
  <c r="BF44" i="24"/>
  <c r="BD44" i="24"/>
  <c r="BC44" i="24"/>
  <c r="AX44" i="24"/>
  <c r="AW44" i="24"/>
  <c r="BG43" i="24"/>
  <c r="BF43" i="24"/>
  <c r="BD43" i="24"/>
  <c r="BC43" i="24"/>
  <c r="AX43" i="24"/>
  <c r="AW43" i="24"/>
  <c r="BG42" i="24"/>
  <c r="BF42" i="24"/>
  <c r="BD42" i="24"/>
  <c r="BC42" i="24"/>
  <c r="AX42" i="24"/>
  <c r="AW42" i="24"/>
  <c r="BG41" i="24"/>
  <c r="BF41" i="24"/>
  <c r="BD41" i="24"/>
  <c r="BC41" i="24"/>
  <c r="AX41" i="24"/>
  <c r="AW41" i="24"/>
  <c r="BG40" i="24"/>
  <c r="BF40" i="24"/>
  <c r="BD40" i="24"/>
  <c r="BC40" i="24"/>
  <c r="AX40" i="24"/>
  <c r="AW40" i="24"/>
  <c r="BG39" i="24"/>
  <c r="BF39" i="24"/>
  <c r="BD39" i="24"/>
  <c r="BC39" i="24"/>
  <c r="AX39" i="24"/>
  <c r="AW39" i="24"/>
  <c r="BG38" i="24"/>
  <c r="BF38" i="24"/>
  <c r="BD38" i="24"/>
  <c r="BC38" i="24"/>
  <c r="AX38" i="24"/>
  <c r="AW38" i="24"/>
  <c r="BG37" i="24"/>
  <c r="BF37" i="24"/>
  <c r="BD37" i="24"/>
  <c r="BC37" i="24"/>
  <c r="AX37" i="24"/>
  <c r="AW37" i="24"/>
  <c r="BG36" i="24"/>
  <c r="BF36" i="24"/>
  <c r="BD36" i="24"/>
  <c r="BC36" i="24"/>
  <c r="AX36" i="24"/>
  <c r="AW36" i="24"/>
  <c r="BG35" i="24"/>
  <c r="BF35" i="24"/>
  <c r="BD35" i="24"/>
  <c r="BC35" i="24"/>
  <c r="AX35" i="24"/>
  <c r="AW35" i="24"/>
  <c r="BG34" i="24"/>
  <c r="BF34" i="24"/>
  <c r="BD34" i="24"/>
  <c r="BC34" i="24"/>
  <c r="AX34" i="24"/>
  <c r="AW34" i="24"/>
  <c r="BG33" i="24"/>
  <c r="BF33" i="24"/>
  <c r="BD33" i="24"/>
  <c r="BC33" i="24"/>
  <c r="AX33" i="24"/>
  <c r="AW33" i="24"/>
  <c r="BG32" i="24"/>
  <c r="BF32" i="24"/>
  <c r="BD32" i="24"/>
  <c r="BC32" i="24"/>
  <c r="AX32" i="24"/>
  <c r="AW32" i="24"/>
  <c r="BG31" i="24"/>
  <c r="BF31" i="24"/>
  <c r="BD31" i="24"/>
  <c r="BC31" i="24"/>
  <c r="AX31" i="24"/>
  <c r="AW31" i="24"/>
  <c r="BG30" i="24"/>
  <c r="BF30" i="24"/>
  <c r="BD30" i="24"/>
  <c r="BC30" i="24"/>
  <c r="AX30" i="24"/>
  <c r="AW30" i="24"/>
  <c r="BG29" i="24"/>
  <c r="BF29" i="24"/>
  <c r="BD29" i="24"/>
  <c r="BC29" i="24"/>
  <c r="AX29" i="24"/>
  <c r="AW29" i="24"/>
  <c r="BG28" i="24"/>
  <c r="BF28" i="24"/>
  <c r="BD28" i="24"/>
  <c r="BC28" i="24"/>
  <c r="AX28" i="24"/>
  <c r="AW28" i="24"/>
  <c r="BG27" i="24"/>
  <c r="BF27" i="24"/>
  <c r="BD27" i="24"/>
  <c r="BC27" i="24"/>
  <c r="AX27" i="24"/>
  <c r="AW27" i="24"/>
  <c r="BG26" i="24"/>
  <c r="BF26" i="24"/>
  <c r="BD26" i="24"/>
  <c r="BC26" i="24"/>
  <c r="AX26" i="24"/>
  <c r="AW26" i="24"/>
  <c r="BG25" i="24"/>
  <c r="BF25" i="24"/>
  <c r="BD25" i="24"/>
  <c r="BC25" i="24"/>
  <c r="AX25" i="24"/>
  <c r="AW25" i="24"/>
  <c r="BG24" i="24"/>
  <c r="BF24" i="24"/>
  <c r="BD24" i="24"/>
  <c r="BC24" i="24"/>
  <c r="AX24" i="24"/>
  <c r="AW24" i="24"/>
  <c r="BG23" i="24"/>
  <c r="BF23" i="24"/>
  <c r="BD23" i="24"/>
  <c r="BC23" i="24"/>
  <c r="AX23" i="24"/>
  <c r="AW23" i="24"/>
  <c r="BG22" i="24"/>
  <c r="BF22" i="24"/>
  <c r="BD22" i="24"/>
  <c r="BC22" i="24"/>
  <c r="AX22" i="24"/>
  <c r="AW22" i="24"/>
  <c r="BG21" i="24"/>
  <c r="BF21" i="24"/>
  <c r="BD21" i="24"/>
  <c r="BC21" i="24"/>
  <c r="AX21" i="24"/>
  <c r="AW21" i="24"/>
  <c r="BG20" i="24"/>
  <c r="BF20" i="24"/>
  <c r="BD20" i="24"/>
  <c r="BC20" i="24"/>
  <c r="AX20" i="24"/>
  <c r="AW20" i="24"/>
  <c r="BG19" i="24"/>
  <c r="BF19" i="24"/>
  <c r="BD19" i="24"/>
  <c r="BC19" i="24"/>
  <c r="AX19" i="24"/>
  <c r="AW19" i="24"/>
  <c r="BG18" i="24"/>
  <c r="BF18" i="24"/>
  <c r="BD18" i="24"/>
  <c r="BC18" i="24"/>
  <c r="AX18" i="24"/>
  <c r="AW18" i="24"/>
  <c r="BG17" i="24"/>
  <c r="BF17" i="24"/>
  <c r="BD17" i="24"/>
  <c r="BC17" i="24"/>
  <c r="AX17" i="24"/>
  <c r="AW17" i="24"/>
  <c r="BG16" i="24"/>
  <c r="BF16" i="24"/>
  <c r="BD16" i="24"/>
  <c r="BC16" i="24"/>
  <c r="AX16" i="24"/>
  <c r="AW16" i="24"/>
  <c r="BG15" i="24"/>
  <c r="BF15" i="24"/>
  <c r="BD15" i="24"/>
  <c r="BC15" i="24"/>
  <c r="AX15" i="24"/>
  <c r="AW15" i="24"/>
  <c r="BG14" i="24"/>
  <c r="BF14" i="24"/>
  <c r="BD14" i="24"/>
  <c r="BC14" i="24"/>
  <c r="AX14" i="24"/>
  <c r="AW14" i="24"/>
  <c r="BG13" i="24"/>
  <c r="BF13" i="24"/>
  <c r="BD13" i="24"/>
  <c r="BC13" i="24"/>
  <c r="AX13" i="24"/>
  <c r="AW13" i="24"/>
  <c r="BG12" i="24"/>
  <c r="BF12" i="24"/>
  <c r="BD12" i="24"/>
  <c r="BC12" i="24"/>
  <c r="AX12" i="24"/>
  <c r="AW12" i="24"/>
  <c r="BG11" i="24"/>
  <c r="BF11" i="24"/>
  <c r="BD11" i="24"/>
  <c r="BC11" i="24"/>
  <c r="AX11" i="24"/>
  <c r="AW11" i="24"/>
  <c r="BG10" i="24"/>
  <c r="BF10" i="24"/>
  <c r="BD10" i="24"/>
  <c r="BC10" i="24"/>
  <c r="AX10" i="24"/>
  <c r="AW10" i="24"/>
  <c r="BG9" i="24"/>
  <c r="BF9" i="24"/>
  <c r="BD9" i="24"/>
  <c r="BC9" i="24"/>
  <c r="AX9" i="24"/>
  <c r="AW9" i="24"/>
  <c r="BG8" i="24"/>
  <c r="BF8" i="24"/>
  <c r="BD8" i="24"/>
  <c r="BC8" i="24"/>
  <c r="AX8" i="24"/>
  <c r="AW8" i="24"/>
  <c r="BG7" i="24"/>
  <c r="BF7" i="24"/>
  <c r="BD7" i="24"/>
  <c r="BC7" i="24"/>
  <c r="AX7" i="24"/>
  <c r="AW7" i="24"/>
  <c r="BG6" i="24"/>
  <c r="BF6" i="24"/>
  <c r="BD6" i="24"/>
  <c r="BC6" i="24"/>
  <c r="AX6" i="24"/>
  <c r="AW6" i="24"/>
  <c r="BG5" i="24"/>
  <c r="BF5" i="24"/>
  <c r="BD5" i="24"/>
  <c r="BC5" i="24"/>
  <c r="AX5" i="24"/>
  <c r="AW5" i="24"/>
  <c r="AW9" i="17"/>
  <c r="AX9" i="17"/>
  <c r="BC9" i="17"/>
  <c r="BD9" i="17"/>
  <c r="BF9" i="17"/>
  <c r="BG9" i="17"/>
  <c r="AW10" i="17"/>
  <c r="AX10" i="17"/>
  <c r="BC10" i="17"/>
  <c r="BD10" i="17"/>
  <c r="BF10" i="17"/>
  <c r="BG10" i="17"/>
  <c r="AW11" i="17"/>
  <c r="AX11" i="17"/>
  <c r="BC11" i="17"/>
  <c r="BD11" i="17"/>
  <c r="BF11" i="17"/>
  <c r="BG11" i="17"/>
  <c r="AW12" i="17"/>
  <c r="AX12" i="17"/>
  <c r="BC12" i="17"/>
  <c r="BD12" i="17"/>
  <c r="BF12" i="17"/>
  <c r="BG12" i="17"/>
  <c r="AW13" i="17"/>
  <c r="AX13" i="17"/>
  <c r="BC13" i="17"/>
  <c r="BD13" i="17"/>
  <c r="BF13" i="17"/>
  <c r="BG13" i="17"/>
  <c r="AW14" i="17"/>
  <c r="AX14" i="17"/>
  <c r="BC14" i="17"/>
  <c r="BD14" i="17"/>
  <c r="BF14" i="17"/>
  <c r="BG14" i="17"/>
  <c r="AW15" i="17"/>
  <c r="AX15" i="17"/>
  <c r="BC15" i="17"/>
  <c r="BD15" i="17"/>
  <c r="BF15" i="17"/>
  <c r="BG15" i="17"/>
  <c r="AW16" i="17"/>
  <c r="AX16" i="17"/>
  <c r="BC16" i="17"/>
  <c r="BD16" i="17"/>
  <c r="BF16" i="17"/>
  <c r="BG16" i="17"/>
  <c r="AW17" i="17"/>
  <c r="AX17" i="17"/>
  <c r="BC17" i="17"/>
  <c r="BD17" i="17"/>
  <c r="BF17" i="17"/>
  <c r="BG17" i="17"/>
  <c r="AW18" i="17"/>
  <c r="AX18" i="17"/>
  <c r="BC18" i="17"/>
  <c r="BD18" i="17"/>
  <c r="BF18" i="17"/>
  <c r="BG18" i="17"/>
  <c r="AW19" i="17"/>
  <c r="AX19" i="17"/>
  <c r="BC19" i="17"/>
  <c r="BD19" i="17"/>
  <c r="BF19" i="17"/>
  <c r="BG19" i="17"/>
  <c r="AW20" i="17"/>
  <c r="AX20" i="17"/>
  <c r="BC20" i="17"/>
  <c r="BD20" i="17"/>
  <c r="BF20" i="17"/>
  <c r="BG20" i="17"/>
  <c r="AW21" i="17"/>
  <c r="AX21" i="17"/>
  <c r="BC21" i="17"/>
  <c r="BD21" i="17"/>
  <c r="BF21" i="17"/>
  <c r="BG21" i="17"/>
  <c r="AW22" i="17"/>
  <c r="AX22" i="17"/>
  <c r="BC22" i="17"/>
  <c r="BD22" i="17"/>
  <c r="BF22" i="17"/>
  <c r="BG22" i="17"/>
  <c r="AW23" i="17"/>
  <c r="AX23" i="17"/>
  <c r="BC23" i="17"/>
  <c r="BD23" i="17"/>
  <c r="BF23" i="17"/>
  <c r="BG23" i="17"/>
  <c r="AW24" i="17"/>
  <c r="AX24" i="17"/>
  <c r="BC24" i="17"/>
  <c r="BD24" i="17"/>
  <c r="BF24" i="17"/>
  <c r="BG24" i="17"/>
  <c r="AW25" i="17"/>
  <c r="AX25" i="17"/>
  <c r="BC25" i="17"/>
  <c r="BD25" i="17"/>
  <c r="BF25" i="17"/>
  <c r="BG25" i="17"/>
  <c r="AW26" i="17"/>
  <c r="AX26" i="17"/>
  <c r="BC26" i="17"/>
  <c r="BD26" i="17"/>
  <c r="BF26" i="17"/>
  <c r="BG26" i="17"/>
  <c r="Z25" i="4"/>
  <c r="AA25" i="4"/>
  <c r="AB25" i="4"/>
  <c r="AC25" i="4"/>
  <c r="AD25" i="4"/>
  <c r="AE25" i="4"/>
  <c r="AH25" i="4"/>
  <c r="AI25" i="4"/>
  <c r="AJ25" i="4"/>
  <c r="AK25" i="4"/>
  <c r="AL25" i="4"/>
  <c r="AM25" i="4"/>
  <c r="AN25" i="4"/>
  <c r="AO25" i="4"/>
  <c r="AR25" i="4"/>
  <c r="AS25" i="4"/>
  <c r="AL61" i="24" l="1"/>
  <c r="AC61" i="24"/>
  <c r="V61" i="24"/>
  <c r="AF61" i="24"/>
  <c r="X61" i="24"/>
  <c r="AH61" i="24"/>
  <c r="BG57" i="24"/>
  <c r="AR62" i="24" s="1"/>
  <c r="AW57" i="24"/>
  <c r="AQ59" i="24" s="1"/>
  <c r="T61" i="24"/>
  <c r="AD61" i="24"/>
  <c r="S61" i="24"/>
  <c r="U61" i="24"/>
  <c r="AE61" i="24"/>
  <c r="BF57" i="24"/>
  <c r="AQ62" i="24" s="1"/>
  <c r="W61" i="24"/>
  <c r="AG61" i="24"/>
  <c r="AX57" i="24"/>
  <c r="AR59" i="24" s="1"/>
  <c r="BD57" i="24"/>
  <c r="AR61" i="24" s="1"/>
  <c r="BC57" i="24"/>
  <c r="AQ61" i="24" s="1"/>
  <c r="BH36" i="23"/>
  <c r="BG36" i="23"/>
  <c r="BF36" i="23"/>
  <c r="AS34" i="23"/>
  <c r="AR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AS32" i="23"/>
  <c r="AR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BB31" i="23"/>
  <c r="BA31" i="23"/>
  <c r="AZ31" i="23"/>
  <c r="AQ34" i="23" s="1"/>
  <c r="AL31" i="23"/>
  <c r="AL35" i="23" s="1"/>
  <c r="AK31" i="23"/>
  <c r="AJ31" i="23"/>
  <c r="AI31" i="23"/>
  <c r="AI35" i="23" s="1"/>
  <c r="AH31" i="23"/>
  <c r="AH35" i="23" s="1"/>
  <c r="AG31" i="23"/>
  <c r="AG35" i="23" s="1"/>
  <c r="AF31" i="23"/>
  <c r="AE31" i="23"/>
  <c r="AD31" i="23"/>
  <c r="AD35" i="23" s="1"/>
  <c r="AC31" i="23"/>
  <c r="AC35" i="23" s="1"/>
  <c r="AB31" i="23"/>
  <c r="AA31" i="23"/>
  <c r="AA35" i="23" s="1"/>
  <c r="Z31" i="23"/>
  <c r="Y31" i="23"/>
  <c r="Y35" i="23" s="1"/>
  <c r="X31" i="23"/>
  <c r="W31" i="23"/>
  <c r="V31" i="23"/>
  <c r="V35" i="23" s="1"/>
  <c r="U31" i="23"/>
  <c r="U35" i="23" s="1"/>
  <c r="T31" i="23"/>
  <c r="S31" i="23"/>
  <c r="S35" i="23" s="1"/>
  <c r="BH29" i="23"/>
  <c r="BH31" i="23" s="1"/>
  <c r="AS36" i="23" s="1"/>
  <c r="BG29" i="23"/>
  <c r="BF29" i="23"/>
  <c r="BE29" i="23"/>
  <c r="BE31" i="23" s="1"/>
  <c r="AS35" i="23" s="1"/>
  <c r="BD29" i="23"/>
  <c r="BC29" i="23"/>
  <c r="AY29" i="23"/>
  <c r="AY31" i="23" s="1"/>
  <c r="AS33" i="23" s="1"/>
  <c r="AX29" i="23"/>
  <c r="AW29" i="23"/>
  <c r="BG28" i="23"/>
  <c r="BF28" i="23"/>
  <c r="BD28" i="23"/>
  <c r="BC28" i="23"/>
  <c r="AX28" i="23"/>
  <c r="AW28" i="23"/>
  <c r="BG27" i="23"/>
  <c r="BF27" i="23"/>
  <c r="BD27" i="23"/>
  <c r="BC27" i="23"/>
  <c r="AX27" i="23"/>
  <c r="AW27" i="23"/>
  <c r="BG26" i="23"/>
  <c r="BF26" i="23"/>
  <c r="BD26" i="23"/>
  <c r="BC26" i="23"/>
  <c r="AX26" i="23"/>
  <c r="AW26" i="23"/>
  <c r="BG25" i="23"/>
  <c r="BF25" i="23"/>
  <c r="BD25" i="23"/>
  <c r="BC25" i="23"/>
  <c r="AX25" i="23"/>
  <c r="AW25" i="23"/>
  <c r="BG24" i="23"/>
  <c r="BF24" i="23"/>
  <c r="BD24" i="23"/>
  <c r="BC24" i="23"/>
  <c r="AX24" i="23"/>
  <c r="AW24" i="23"/>
  <c r="BG23" i="23"/>
  <c r="BF23" i="23"/>
  <c r="BD23" i="23"/>
  <c r="BC23" i="23"/>
  <c r="AX23" i="23"/>
  <c r="AW23" i="23"/>
  <c r="BG22" i="23"/>
  <c r="BF22" i="23"/>
  <c r="BD22" i="23"/>
  <c r="BC22" i="23"/>
  <c r="AX22" i="23"/>
  <c r="AW22" i="23"/>
  <c r="BG21" i="23"/>
  <c r="BF21" i="23"/>
  <c r="BD21" i="23"/>
  <c r="BC21" i="23"/>
  <c r="AX21" i="23"/>
  <c r="AW21" i="23"/>
  <c r="BG20" i="23"/>
  <c r="BF20" i="23"/>
  <c r="BD20" i="23"/>
  <c r="BC20" i="23"/>
  <c r="AX20" i="23"/>
  <c r="AW20" i="23"/>
  <c r="BG19" i="23"/>
  <c r="BF19" i="23"/>
  <c r="BD19" i="23"/>
  <c r="BC19" i="23"/>
  <c r="AX19" i="23"/>
  <c r="AW19" i="23"/>
  <c r="BG18" i="23"/>
  <c r="BF18" i="23"/>
  <c r="BD18" i="23"/>
  <c r="BC18" i="23"/>
  <c r="AX18" i="23"/>
  <c r="AW18" i="23"/>
  <c r="BG17" i="23"/>
  <c r="BF17" i="23"/>
  <c r="BD17" i="23"/>
  <c r="BC17" i="23"/>
  <c r="AX17" i="23"/>
  <c r="AW17" i="23"/>
  <c r="BG16" i="23"/>
  <c r="BF16" i="23"/>
  <c r="BD16" i="23"/>
  <c r="BC16" i="23"/>
  <c r="AX16" i="23"/>
  <c r="AW16" i="23"/>
  <c r="BG15" i="23"/>
  <c r="BF15" i="23"/>
  <c r="BD15" i="23"/>
  <c r="BC15" i="23"/>
  <c r="AX15" i="23"/>
  <c r="AW15" i="23"/>
  <c r="BG14" i="23"/>
  <c r="BF14" i="23"/>
  <c r="BD14" i="23"/>
  <c r="BC14" i="23"/>
  <c r="AX14" i="23"/>
  <c r="AW14" i="23"/>
  <c r="BG13" i="23"/>
  <c r="BF13" i="23"/>
  <c r="BD13" i="23"/>
  <c r="BC13" i="23"/>
  <c r="AX13" i="23"/>
  <c r="AW13" i="23"/>
  <c r="BG12" i="23"/>
  <c r="BF12" i="23"/>
  <c r="BD12" i="23"/>
  <c r="BC12" i="23"/>
  <c r="AX12" i="23"/>
  <c r="AW12" i="23"/>
  <c r="BG11" i="23"/>
  <c r="BF11" i="23"/>
  <c r="BD11" i="23"/>
  <c r="BC11" i="23"/>
  <c r="AX11" i="23"/>
  <c r="AW11" i="23"/>
  <c r="BG10" i="23"/>
  <c r="BF10" i="23"/>
  <c r="BD10" i="23"/>
  <c r="BC10" i="23"/>
  <c r="AX10" i="23"/>
  <c r="AW10" i="23"/>
  <c r="BG9" i="23"/>
  <c r="BF9" i="23"/>
  <c r="BD9" i="23"/>
  <c r="BC9" i="23"/>
  <c r="AX9" i="23"/>
  <c r="AW9" i="23"/>
  <c r="BG8" i="23"/>
  <c r="BF8" i="23"/>
  <c r="BD8" i="23"/>
  <c r="BC8" i="23"/>
  <c r="AX8" i="23"/>
  <c r="AW8" i="23"/>
  <c r="BG7" i="23"/>
  <c r="BF7" i="23"/>
  <c r="BD7" i="23"/>
  <c r="BC7" i="23"/>
  <c r="AX7" i="23"/>
  <c r="AW7" i="23"/>
  <c r="BG6" i="23"/>
  <c r="BF6" i="23"/>
  <c r="BD6" i="23"/>
  <c r="BC6" i="23"/>
  <c r="AX6" i="23"/>
  <c r="AW6" i="23"/>
  <c r="BG5" i="23"/>
  <c r="BF5" i="23"/>
  <c r="BD5" i="23"/>
  <c r="BC5" i="23"/>
  <c r="BC31" i="23" s="1"/>
  <c r="AQ35" i="23" s="1"/>
  <c r="AX5" i="23"/>
  <c r="AX31" i="23" s="1"/>
  <c r="AR33" i="23" s="1"/>
  <c r="AW5" i="23"/>
  <c r="AK35" i="23" l="1"/>
  <c r="Z35" i="23"/>
  <c r="T35" i="23"/>
  <c r="AB35" i="23"/>
  <c r="AJ35" i="23"/>
  <c r="BF31" i="23"/>
  <c r="AQ36" i="23" s="1"/>
  <c r="BG31" i="23"/>
  <c r="AR36" i="23" s="1"/>
  <c r="W35" i="23"/>
  <c r="AE35" i="23"/>
  <c r="BD31" i="23"/>
  <c r="AR35" i="23" s="1"/>
  <c r="X35" i="23"/>
  <c r="AF35" i="23"/>
  <c r="AW31" i="23"/>
  <c r="AQ33" i="23" s="1"/>
  <c r="BC15" i="3" l="1"/>
  <c r="BD15" i="3"/>
  <c r="BE15" i="3"/>
  <c r="BI15" i="3"/>
  <c r="BJ15" i="3"/>
  <c r="BK15" i="3"/>
  <c r="BL15" i="3"/>
  <c r="BM15" i="3"/>
  <c r="BN15" i="3"/>
  <c r="BC12" i="2" l="1"/>
  <c r="BD12" i="2"/>
  <c r="BE12" i="2"/>
  <c r="BI12" i="2"/>
  <c r="BJ12" i="2"/>
  <c r="BK12" i="2"/>
  <c r="BL12" i="2"/>
  <c r="BM12" i="2"/>
  <c r="BN12" i="2"/>
  <c r="BC13" i="2"/>
  <c r="BD13" i="2"/>
  <c r="BE13" i="2"/>
  <c r="BI13" i="2"/>
  <c r="BJ13" i="2"/>
  <c r="BK13" i="2"/>
  <c r="BL13" i="2"/>
  <c r="BM13" i="2"/>
  <c r="BN13" i="2"/>
  <c r="BC14" i="2"/>
  <c r="BD14" i="2"/>
  <c r="BE14" i="2"/>
  <c r="BI14" i="2"/>
  <c r="BJ14" i="2"/>
  <c r="BK14" i="2"/>
  <c r="BL14" i="2"/>
  <c r="BM14" i="2"/>
  <c r="BN14" i="2"/>
  <c r="BC15" i="2"/>
  <c r="BD15" i="2"/>
  <c r="BE15" i="2"/>
  <c r="BI15" i="2"/>
  <c r="BJ15" i="2"/>
  <c r="BK15" i="2"/>
  <c r="BL15" i="2"/>
  <c r="BM15" i="2"/>
  <c r="BN15" i="2"/>
  <c r="BC16" i="2"/>
  <c r="BD16" i="2"/>
  <c r="BE16" i="2"/>
  <c r="BI16" i="2"/>
  <c r="BJ16" i="2"/>
  <c r="BK16" i="2"/>
  <c r="BL16" i="2"/>
  <c r="BM16" i="2"/>
  <c r="BN16" i="2"/>
  <c r="BC17" i="2"/>
  <c r="BD17" i="2"/>
  <c r="BE17" i="2"/>
  <c r="BI17" i="2"/>
  <c r="BJ17" i="2"/>
  <c r="BK17" i="2"/>
  <c r="BL17" i="2"/>
  <c r="BM17" i="2"/>
  <c r="BN17" i="2"/>
  <c r="BC18" i="2"/>
  <c r="BD18" i="2"/>
  <c r="BE18" i="2"/>
  <c r="BI18" i="2"/>
  <c r="BJ18" i="2"/>
  <c r="BK18" i="2"/>
  <c r="BL18" i="2"/>
  <c r="BM18" i="2"/>
  <c r="BN18" i="2"/>
  <c r="BC19" i="2"/>
  <c r="BD19" i="2"/>
  <c r="BE19" i="2"/>
  <c r="BI19" i="2"/>
  <c r="BJ19" i="2"/>
  <c r="BK19" i="2"/>
  <c r="BL19" i="2"/>
  <c r="BM19" i="2"/>
  <c r="BN19" i="2"/>
  <c r="AY6" i="1"/>
  <c r="AZ6" i="1"/>
  <c r="BE6" i="1"/>
  <c r="BF6" i="1"/>
  <c r="BH6" i="1"/>
  <c r="BI6" i="1"/>
  <c r="AY7" i="1"/>
  <c r="AZ7" i="1"/>
  <c r="BE7" i="1"/>
  <c r="BF7" i="1"/>
  <c r="BH7" i="1"/>
  <c r="BI7" i="1"/>
  <c r="AY8" i="1"/>
  <c r="AZ8" i="1"/>
  <c r="BE8" i="1"/>
  <c r="BF8" i="1"/>
  <c r="BH8" i="1"/>
  <c r="BI8" i="1"/>
  <c r="AY9" i="1"/>
  <c r="AZ9" i="1"/>
  <c r="BE9" i="1"/>
  <c r="BF9" i="1"/>
  <c r="BH9" i="1"/>
  <c r="BI9" i="1"/>
  <c r="AY10" i="1"/>
  <c r="AZ10" i="1"/>
  <c r="BE10" i="1"/>
  <c r="BF10" i="1"/>
  <c r="BH10" i="1"/>
  <c r="BI10" i="1"/>
  <c r="AY11" i="1"/>
  <c r="AZ11" i="1"/>
  <c r="BE11" i="1"/>
  <c r="BF11" i="1"/>
  <c r="BH11" i="1"/>
  <c r="BI11" i="1"/>
  <c r="AY12" i="1"/>
  <c r="AZ12" i="1"/>
  <c r="BE12" i="1"/>
  <c r="BF12" i="1"/>
  <c r="BH12" i="1"/>
  <c r="BI12" i="1"/>
  <c r="AY13" i="1"/>
  <c r="AZ13" i="1"/>
  <c r="BE13" i="1"/>
  <c r="BF13" i="1"/>
  <c r="BH13" i="1"/>
  <c r="BI13" i="1"/>
  <c r="AY14" i="1"/>
  <c r="AZ14" i="1"/>
  <c r="BE14" i="1"/>
  <c r="BF14" i="1"/>
  <c r="BH14" i="1"/>
  <c r="BI14" i="1"/>
  <c r="AY15" i="1"/>
  <c r="AZ15" i="1"/>
  <c r="BE15" i="1"/>
  <c r="BF15" i="1"/>
  <c r="BH15" i="1"/>
  <c r="BI15" i="1"/>
  <c r="AY16" i="1"/>
  <c r="AZ16" i="1"/>
  <c r="BE16" i="1"/>
  <c r="BF16" i="1"/>
  <c r="BH16" i="1"/>
  <c r="BI16" i="1"/>
  <c r="AY17" i="1"/>
  <c r="AZ17" i="1"/>
  <c r="BE17" i="1"/>
  <c r="BF17" i="1"/>
  <c r="BH17" i="1"/>
  <c r="BI17" i="1"/>
  <c r="AY18" i="1"/>
  <c r="AZ18" i="1"/>
  <c r="BE18" i="1"/>
  <c r="BF18" i="1"/>
  <c r="BH18" i="1"/>
  <c r="BI18" i="1"/>
  <c r="AY19" i="1"/>
  <c r="AZ19" i="1"/>
  <c r="BE19" i="1"/>
  <c r="BF19" i="1"/>
  <c r="BH19" i="1"/>
  <c r="BI19" i="1"/>
  <c r="AY20" i="1"/>
  <c r="AZ20" i="1"/>
  <c r="BE20" i="1"/>
  <c r="BF20" i="1"/>
  <c r="BH20" i="1"/>
  <c r="BI20" i="1"/>
  <c r="AY21" i="1"/>
  <c r="AZ21" i="1"/>
  <c r="BE21" i="1"/>
  <c r="BF21" i="1"/>
  <c r="BH21" i="1"/>
  <c r="BI21" i="1"/>
  <c r="AY22" i="1"/>
  <c r="AZ22" i="1"/>
  <c r="BE22" i="1"/>
  <c r="BF22" i="1"/>
  <c r="BH22" i="1"/>
  <c r="BI22" i="1"/>
  <c r="AY23" i="1"/>
  <c r="AZ23" i="1"/>
  <c r="BE23" i="1"/>
  <c r="BF23" i="1"/>
  <c r="BH23" i="1"/>
  <c r="BI23" i="1"/>
  <c r="AY24" i="1"/>
  <c r="AZ24" i="1"/>
  <c r="BE24" i="1"/>
  <c r="BF24" i="1"/>
  <c r="BH24" i="1"/>
  <c r="BI24" i="1"/>
  <c r="AY25" i="1"/>
  <c r="AZ25" i="1"/>
  <c r="BE25" i="1"/>
  <c r="BF25" i="1"/>
  <c r="BH25" i="1"/>
  <c r="BI25" i="1"/>
  <c r="AY26" i="1"/>
  <c r="AZ26" i="1"/>
  <c r="BE26" i="1"/>
  <c r="BF26" i="1"/>
  <c r="BH26" i="1"/>
  <c r="BI26" i="1"/>
  <c r="AY27" i="1"/>
  <c r="AZ27" i="1"/>
  <c r="BE27" i="1"/>
  <c r="BF27" i="1"/>
  <c r="BH27" i="1"/>
  <c r="BI27" i="1"/>
  <c r="AY28" i="1"/>
  <c r="AZ28" i="1"/>
  <c r="BE28" i="1"/>
  <c r="BF28" i="1"/>
  <c r="BH28" i="1"/>
  <c r="BI28" i="1"/>
  <c r="AY29" i="1"/>
  <c r="AZ29" i="1"/>
  <c r="BE29" i="1"/>
  <c r="BF29" i="1"/>
  <c r="BH29" i="1"/>
  <c r="BI29" i="1"/>
  <c r="AY30" i="1"/>
  <c r="AZ30" i="1"/>
  <c r="BE30" i="1"/>
  <c r="BF30" i="1"/>
  <c r="BH30" i="1"/>
  <c r="BI30" i="1"/>
  <c r="AY31" i="1"/>
  <c r="AZ31" i="1"/>
  <c r="BE31" i="1"/>
  <c r="BF31" i="1"/>
  <c r="BH31" i="1"/>
  <c r="BI31" i="1"/>
  <c r="AY32" i="1"/>
  <c r="AZ32" i="1"/>
  <c r="BE32" i="1"/>
  <c r="BF32" i="1"/>
  <c r="BH32" i="1"/>
  <c r="BI32" i="1"/>
  <c r="AY33" i="1"/>
  <c r="AZ33" i="1"/>
  <c r="BE33" i="1"/>
  <c r="BF33" i="1"/>
  <c r="BH33" i="1"/>
  <c r="BI33" i="1"/>
  <c r="AY34" i="1"/>
  <c r="AZ34" i="1"/>
  <c r="BE34" i="1"/>
  <c r="BF34" i="1"/>
  <c r="BH34" i="1"/>
  <c r="BI34" i="1"/>
  <c r="AY35" i="1"/>
  <c r="AZ35" i="1"/>
  <c r="BE35" i="1"/>
  <c r="BF35" i="1"/>
  <c r="BH35" i="1"/>
  <c r="BI35" i="1"/>
  <c r="AY36" i="1"/>
  <c r="AZ36" i="1"/>
  <c r="BE36" i="1"/>
  <c r="BF36" i="1"/>
  <c r="BH36" i="1"/>
  <c r="BI36" i="1"/>
  <c r="AY37" i="1"/>
  <c r="AZ37" i="1"/>
  <c r="BE37" i="1"/>
  <c r="BF37" i="1"/>
  <c r="BH37" i="1"/>
  <c r="BI37" i="1"/>
  <c r="AY38" i="1"/>
  <c r="AZ38" i="1"/>
  <c r="BE38" i="1"/>
  <c r="BF38" i="1"/>
  <c r="BH38" i="1"/>
  <c r="BI38" i="1"/>
  <c r="AY39" i="1"/>
  <c r="AZ39" i="1"/>
  <c r="BE39" i="1"/>
  <c r="BF39" i="1"/>
  <c r="BH39" i="1"/>
  <c r="BI39" i="1"/>
  <c r="AY40" i="1"/>
  <c r="AZ40" i="1"/>
  <c r="BE40" i="1"/>
  <c r="BF40" i="1"/>
  <c r="BH40" i="1"/>
  <c r="BI40" i="1"/>
  <c r="AW7" i="8"/>
  <c r="AX7" i="8"/>
  <c r="AY7" i="8"/>
  <c r="BC7" i="8"/>
  <c r="BD7" i="8"/>
  <c r="BE7" i="8"/>
  <c r="BF7" i="8"/>
  <c r="BG7" i="8"/>
  <c r="BH7" i="8"/>
  <c r="AW8" i="8"/>
  <c r="AX8" i="8"/>
  <c r="AY8" i="8"/>
  <c r="BC8" i="8"/>
  <c r="BD8" i="8"/>
  <c r="BE8" i="8"/>
  <c r="BF8" i="8"/>
  <c r="BG8" i="8"/>
  <c r="BH8" i="8"/>
  <c r="AW9" i="8"/>
  <c r="AX9" i="8"/>
  <c r="AY9" i="8"/>
  <c r="BC9" i="8"/>
  <c r="BD9" i="8"/>
  <c r="BE9" i="8"/>
  <c r="BF9" i="8"/>
  <c r="BG9" i="8"/>
  <c r="BH9" i="8"/>
  <c r="AW10" i="8"/>
  <c r="AX10" i="8"/>
  <c r="AY10" i="8"/>
  <c r="BC10" i="8"/>
  <c r="BD10" i="8"/>
  <c r="BE10" i="8"/>
  <c r="BF10" i="8"/>
  <c r="BG10" i="8"/>
  <c r="BH10" i="8"/>
  <c r="AW11" i="8"/>
  <c r="AX11" i="8"/>
  <c r="AY11" i="8"/>
  <c r="BC11" i="8"/>
  <c r="BD11" i="8"/>
  <c r="BE11" i="8"/>
  <c r="BF11" i="8"/>
  <c r="BG11" i="8"/>
  <c r="BH11" i="8"/>
  <c r="AW12" i="8"/>
  <c r="AX12" i="8"/>
  <c r="AY12" i="8"/>
  <c r="BC12" i="8"/>
  <c r="BD12" i="8"/>
  <c r="BE12" i="8"/>
  <c r="BF12" i="8"/>
  <c r="BG12" i="8"/>
  <c r="BH12" i="8"/>
  <c r="AW13" i="8"/>
  <c r="AX13" i="8"/>
  <c r="AY13" i="8"/>
  <c r="BC13" i="8"/>
  <c r="BD13" i="8"/>
  <c r="BE13" i="8"/>
  <c r="BF13" i="8"/>
  <c r="BG13" i="8"/>
  <c r="BH13" i="8"/>
  <c r="AW14" i="8"/>
  <c r="AX14" i="8"/>
  <c r="AY14" i="8"/>
  <c r="BC14" i="8"/>
  <c r="BD14" i="8"/>
  <c r="BE14" i="8"/>
  <c r="BF14" i="8"/>
  <c r="BG14" i="8"/>
  <c r="BH14" i="8"/>
  <c r="AW15" i="8"/>
  <c r="AX15" i="8"/>
  <c r="AY15" i="8"/>
  <c r="BC15" i="8"/>
  <c r="BD15" i="8"/>
  <c r="BE15" i="8"/>
  <c r="BF15" i="8"/>
  <c r="BG15" i="8"/>
  <c r="BH15" i="8"/>
  <c r="AW16" i="8"/>
  <c r="AX16" i="8"/>
  <c r="AY16" i="8"/>
  <c r="BC16" i="8"/>
  <c r="BD16" i="8"/>
  <c r="BE16" i="8"/>
  <c r="BF16" i="8"/>
  <c r="BG16" i="8"/>
  <c r="BH16" i="8"/>
  <c r="AW17" i="8"/>
  <c r="AX17" i="8"/>
  <c r="AY17" i="8"/>
  <c r="BC17" i="8"/>
  <c r="BD17" i="8"/>
  <c r="BE17" i="8"/>
  <c r="BF17" i="8"/>
  <c r="BG17" i="8"/>
  <c r="BH17" i="8"/>
  <c r="AW18" i="8"/>
  <c r="AX18" i="8"/>
  <c r="AY18" i="8"/>
  <c r="BC18" i="8"/>
  <c r="BD18" i="8"/>
  <c r="BE18" i="8"/>
  <c r="BF18" i="8"/>
  <c r="BG18" i="8"/>
  <c r="BH18" i="8"/>
  <c r="AW19" i="8"/>
  <c r="AX19" i="8"/>
  <c r="AY19" i="8"/>
  <c r="BC19" i="8"/>
  <c r="BD19" i="8"/>
  <c r="BE19" i="8"/>
  <c r="BF19" i="8"/>
  <c r="BG19" i="8"/>
  <c r="BH19" i="8"/>
  <c r="AW20" i="8"/>
  <c r="AX20" i="8"/>
  <c r="AY20" i="8"/>
  <c r="BC20" i="8"/>
  <c r="BD20" i="8"/>
  <c r="BE20" i="8"/>
  <c r="BF20" i="8"/>
  <c r="BG20" i="8"/>
  <c r="BH20" i="8"/>
  <c r="AW21" i="8"/>
  <c r="AX21" i="8"/>
  <c r="AY21" i="8"/>
  <c r="BC21" i="8"/>
  <c r="BD21" i="8"/>
  <c r="BE21" i="8"/>
  <c r="BF21" i="8"/>
  <c r="BG21" i="8"/>
  <c r="BH21" i="8"/>
  <c r="AW22" i="8"/>
  <c r="AX22" i="8"/>
  <c r="AY22" i="8"/>
  <c r="BC22" i="8"/>
  <c r="BD22" i="8"/>
  <c r="BE22" i="8"/>
  <c r="BF22" i="8"/>
  <c r="BG22" i="8"/>
  <c r="BH22" i="8"/>
  <c r="AW23" i="8"/>
  <c r="AX23" i="8"/>
  <c r="AY23" i="8"/>
  <c r="BC23" i="8"/>
  <c r="BD23" i="8"/>
  <c r="BE23" i="8"/>
  <c r="BF23" i="8"/>
  <c r="BG23" i="8"/>
  <c r="BH23" i="8"/>
  <c r="AW24" i="8"/>
  <c r="AX24" i="8"/>
  <c r="AY24" i="8"/>
  <c r="BC24" i="8"/>
  <c r="BD24" i="8"/>
  <c r="BE24" i="8"/>
  <c r="BF24" i="8"/>
  <c r="BG24" i="8"/>
  <c r="BH24" i="8"/>
  <c r="AW25" i="8"/>
  <c r="AX25" i="8"/>
  <c r="AY25" i="8"/>
  <c r="BC25" i="8"/>
  <c r="BD25" i="8"/>
  <c r="BE25" i="8"/>
  <c r="BF25" i="8"/>
  <c r="BG25" i="8"/>
  <c r="BH25" i="8"/>
  <c r="AW26" i="8"/>
  <c r="AX26" i="8"/>
  <c r="AY26" i="8"/>
  <c r="BC26" i="8"/>
  <c r="BD26" i="8"/>
  <c r="BE26" i="8"/>
  <c r="BF26" i="8"/>
  <c r="BG26" i="8"/>
  <c r="BH26" i="8"/>
  <c r="AW27" i="8"/>
  <c r="AX27" i="8"/>
  <c r="AY27" i="8"/>
  <c r="BC27" i="8"/>
  <c r="BD27" i="8"/>
  <c r="BE27" i="8"/>
  <c r="BF27" i="8"/>
  <c r="BG27" i="8"/>
  <c r="BH27" i="8"/>
  <c r="AW28" i="8"/>
  <c r="AX28" i="8"/>
  <c r="AY28" i="8"/>
  <c r="BC28" i="8"/>
  <c r="BD28" i="8"/>
  <c r="BE28" i="8"/>
  <c r="BF28" i="8"/>
  <c r="BG28" i="8"/>
  <c r="BH28" i="8"/>
  <c r="AW29" i="8"/>
  <c r="AX29" i="8"/>
  <c r="AY29" i="8"/>
  <c r="BC29" i="8"/>
  <c r="BD29" i="8"/>
  <c r="BE29" i="8"/>
  <c r="BF29" i="8"/>
  <c r="BG29" i="8"/>
  <c r="BH29" i="8"/>
  <c r="AW30" i="8"/>
  <c r="AX30" i="8"/>
  <c r="AY30" i="8"/>
  <c r="BC30" i="8"/>
  <c r="BD30" i="8"/>
  <c r="BE30" i="8"/>
  <c r="BF30" i="8"/>
  <c r="BG30" i="8"/>
  <c r="BH30" i="8"/>
  <c r="AW31" i="8"/>
  <c r="AX31" i="8"/>
  <c r="AY31" i="8"/>
  <c r="BC31" i="8"/>
  <c r="BD31" i="8"/>
  <c r="BE31" i="8"/>
  <c r="BF31" i="8"/>
  <c r="BG31" i="8"/>
  <c r="BH31" i="8"/>
  <c r="AW32" i="8"/>
  <c r="AX32" i="8"/>
  <c r="AY32" i="8"/>
  <c r="BC32" i="8"/>
  <c r="BD32" i="8"/>
  <c r="BE32" i="8"/>
  <c r="BF32" i="8"/>
  <c r="BG32" i="8"/>
  <c r="BH32" i="8"/>
  <c r="AW33" i="8"/>
  <c r="AX33" i="8"/>
  <c r="AY33" i="8"/>
  <c r="BC33" i="8"/>
  <c r="BD33" i="8"/>
  <c r="BE33" i="8"/>
  <c r="BF33" i="8"/>
  <c r="BG33" i="8"/>
  <c r="BH33" i="8"/>
  <c r="AW34" i="8"/>
  <c r="AX34" i="8"/>
  <c r="AY34" i="8"/>
  <c r="BC34" i="8"/>
  <c r="BD34" i="8"/>
  <c r="BE34" i="8"/>
  <c r="BF34" i="8"/>
  <c r="BG34" i="8"/>
  <c r="BH34" i="8"/>
  <c r="AW35" i="8"/>
  <c r="AX35" i="8"/>
  <c r="AY35" i="8"/>
  <c r="BC35" i="8"/>
  <c r="BD35" i="8"/>
  <c r="BE35" i="8"/>
  <c r="BF35" i="8"/>
  <c r="BG35" i="8"/>
  <c r="BH35" i="8"/>
  <c r="AW36" i="8"/>
  <c r="AX36" i="8"/>
  <c r="AY36" i="8"/>
  <c r="BC36" i="8"/>
  <c r="BD36" i="8"/>
  <c r="BE36" i="8"/>
  <c r="BF36" i="8"/>
  <c r="BG36" i="8"/>
  <c r="BH36" i="8"/>
  <c r="AW5" i="8"/>
  <c r="AX5" i="8"/>
  <c r="AY5" i="8"/>
  <c r="BC5" i="8"/>
  <c r="BD5" i="8"/>
  <c r="BE5" i="8"/>
  <c r="BF5" i="8"/>
  <c r="BG5" i="8"/>
  <c r="BH5" i="8"/>
  <c r="AW6" i="9"/>
  <c r="AX6" i="9"/>
  <c r="BC6" i="9"/>
  <c r="BD6" i="9"/>
  <c r="BF6" i="9"/>
  <c r="BG6" i="9"/>
  <c r="AW7" i="9"/>
  <c r="AX7" i="9"/>
  <c r="BC7" i="9"/>
  <c r="BD7" i="9"/>
  <c r="BF7" i="9"/>
  <c r="BG7" i="9"/>
  <c r="AW8" i="9"/>
  <c r="AX8" i="9"/>
  <c r="BC8" i="9"/>
  <c r="BD8" i="9"/>
  <c r="BF8" i="9"/>
  <c r="BG8" i="9"/>
  <c r="AW9" i="9"/>
  <c r="AX9" i="9"/>
  <c r="BC9" i="9"/>
  <c r="BD9" i="9"/>
  <c r="BF9" i="9"/>
  <c r="BG9" i="9"/>
  <c r="AW10" i="9"/>
  <c r="AX10" i="9"/>
  <c r="BC10" i="9"/>
  <c r="BD10" i="9"/>
  <c r="BF10" i="9"/>
  <c r="BG10" i="9"/>
  <c r="AW11" i="9"/>
  <c r="AX11" i="9"/>
  <c r="BC11" i="9"/>
  <c r="BD11" i="9"/>
  <c r="BF11" i="9"/>
  <c r="BG11" i="9"/>
  <c r="AW12" i="9"/>
  <c r="AX12" i="9"/>
  <c r="BC12" i="9"/>
  <c r="BD12" i="9"/>
  <c r="BF12" i="9"/>
  <c r="BG12" i="9"/>
  <c r="AW13" i="9"/>
  <c r="AX13" i="9"/>
  <c r="BC13" i="9"/>
  <c r="BD13" i="9"/>
  <c r="BF13" i="9"/>
  <c r="BG13" i="9"/>
  <c r="AW14" i="9"/>
  <c r="AX14" i="9"/>
  <c r="BC14" i="9"/>
  <c r="BD14" i="9"/>
  <c r="BF14" i="9"/>
  <c r="BG14" i="9"/>
  <c r="AW15" i="9"/>
  <c r="AX15" i="9"/>
  <c r="BC15" i="9"/>
  <c r="BD15" i="9"/>
  <c r="BF15" i="9"/>
  <c r="BG15" i="9"/>
  <c r="AW16" i="9"/>
  <c r="AX16" i="9"/>
  <c r="BC16" i="9"/>
  <c r="BD16" i="9"/>
  <c r="BF16" i="9"/>
  <c r="BG16" i="9"/>
  <c r="AW17" i="9"/>
  <c r="AX17" i="9"/>
  <c r="BC17" i="9"/>
  <c r="BD17" i="9"/>
  <c r="BF17" i="9"/>
  <c r="BG17" i="9"/>
  <c r="AW18" i="9"/>
  <c r="AX18" i="9"/>
  <c r="BC18" i="9"/>
  <c r="BD18" i="9"/>
  <c r="BF18" i="9"/>
  <c r="BG18" i="9"/>
  <c r="AW19" i="9"/>
  <c r="AX19" i="9"/>
  <c r="BC19" i="9"/>
  <c r="BD19" i="9"/>
  <c r="BF19" i="9"/>
  <c r="BG19" i="9"/>
  <c r="AW20" i="9"/>
  <c r="AX20" i="9"/>
  <c r="BC20" i="9"/>
  <c r="BD20" i="9"/>
  <c r="BF20" i="9"/>
  <c r="BG20" i="9"/>
  <c r="AW21" i="9"/>
  <c r="AX21" i="9"/>
  <c r="BC21" i="9"/>
  <c r="BD21" i="9"/>
  <c r="BF21" i="9"/>
  <c r="BG21" i="9"/>
  <c r="AW22" i="9"/>
  <c r="AX22" i="9"/>
  <c r="BC22" i="9"/>
  <c r="BD22" i="9"/>
  <c r="BF22" i="9"/>
  <c r="BG22" i="9"/>
  <c r="AW23" i="9"/>
  <c r="AX23" i="9"/>
  <c r="BC23" i="9"/>
  <c r="BD23" i="9"/>
  <c r="BF23" i="9"/>
  <c r="BG23" i="9"/>
  <c r="AW24" i="9"/>
  <c r="AX24" i="9"/>
  <c r="BC24" i="9"/>
  <c r="BD24" i="9"/>
  <c r="BF24" i="9"/>
  <c r="BG24" i="9"/>
  <c r="AW25" i="9"/>
  <c r="AX25" i="9"/>
  <c r="BC25" i="9"/>
  <c r="BD25" i="9"/>
  <c r="BF25" i="9"/>
  <c r="BG25" i="9"/>
  <c r="AW26" i="9"/>
  <c r="AX26" i="9"/>
  <c r="BC26" i="9"/>
  <c r="BD26" i="9"/>
  <c r="BF26" i="9"/>
  <c r="BG26" i="9"/>
  <c r="AW27" i="9"/>
  <c r="AX27" i="9"/>
  <c r="BC27" i="9"/>
  <c r="BD27" i="9"/>
  <c r="BF27" i="9"/>
  <c r="BG27" i="9"/>
  <c r="AW28" i="9"/>
  <c r="AX28" i="9"/>
  <c r="BC28" i="9"/>
  <c r="BD28" i="9"/>
  <c r="BF28" i="9"/>
  <c r="BG28" i="9"/>
  <c r="AW29" i="9"/>
  <c r="AX29" i="9"/>
  <c r="BC29" i="9"/>
  <c r="BD29" i="9"/>
  <c r="BF29" i="9"/>
  <c r="BG29" i="9"/>
  <c r="AW30" i="9"/>
  <c r="AX30" i="9"/>
  <c r="BC30" i="9"/>
  <c r="BD30" i="9"/>
  <c r="BF30" i="9"/>
  <c r="BG30" i="9"/>
  <c r="AW31" i="9"/>
  <c r="AX31" i="9"/>
  <c r="BC31" i="9"/>
  <c r="BD31" i="9"/>
  <c r="BF31" i="9"/>
  <c r="BG31" i="9"/>
  <c r="AW32" i="9"/>
  <c r="AX32" i="9"/>
  <c r="BC32" i="9"/>
  <c r="BD32" i="9"/>
  <c r="BF32" i="9"/>
  <c r="BG32" i="9"/>
  <c r="AW33" i="9"/>
  <c r="AX33" i="9"/>
  <c r="BC33" i="9"/>
  <c r="BD33" i="9"/>
  <c r="BF33" i="9"/>
  <c r="BG33" i="9"/>
  <c r="AW34" i="9"/>
  <c r="AX34" i="9"/>
  <c r="BC34" i="9"/>
  <c r="BD34" i="9"/>
  <c r="BF34" i="9"/>
  <c r="BG34" i="9"/>
  <c r="AW35" i="9"/>
  <c r="AX35" i="9"/>
  <c r="BC35" i="9"/>
  <c r="BD35" i="9"/>
  <c r="BF35" i="9"/>
  <c r="BG35" i="9"/>
  <c r="AW36" i="9"/>
  <c r="AX36" i="9"/>
  <c r="BC36" i="9"/>
  <c r="BD36" i="9"/>
  <c r="BF36" i="9"/>
  <c r="BG36" i="9"/>
  <c r="AW37" i="9"/>
  <c r="AX37" i="9"/>
  <c r="BC37" i="9"/>
  <c r="BD37" i="9"/>
  <c r="BF37" i="9"/>
  <c r="BG37" i="9"/>
  <c r="AW38" i="9"/>
  <c r="AX38" i="9"/>
  <c r="BC38" i="9"/>
  <c r="BD38" i="9"/>
  <c r="BF38" i="9"/>
  <c r="BG38" i="9"/>
  <c r="AW39" i="9"/>
  <c r="AX39" i="9"/>
  <c r="BC39" i="9"/>
  <c r="BD39" i="9"/>
  <c r="BF39" i="9"/>
  <c r="BG39" i="9"/>
  <c r="AW40" i="9"/>
  <c r="AX40" i="9"/>
  <c r="BC40" i="9"/>
  <c r="BD40" i="9"/>
  <c r="BF40" i="9"/>
  <c r="BG40" i="9"/>
  <c r="AW41" i="9"/>
  <c r="AX41" i="9"/>
  <c r="BC41" i="9"/>
  <c r="BD41" i="9"/>
  <c r="BF41" i="9"/>
  <c r="BG41" i="9"/>
  <c r="AW42" i="9"/>
  <c r="AX42" i="9"/>
  <c r="BC42" i="9"/>
  <c r="BD42" i="9"/>
  <c r="BF42" i="9"/>
  <c r="BG42" i="9"/>
  <c r="AW43" i="9"/>
  <c r="AX43" i="9"/>
  <c r="BC43" i="9"/>
  <c r="BD43" i="9"/>
  <c r="BF43" i="9"/>
  <c r="BG43" i="9"/>
  <c r="AW6" i="18"/>
  <c r="AX6" i="18"/>
  <c r="BC6" i="18"/>
  <c r="BD6" i="18"/>
  <c r="BF6" i="18"/>
  <c r="BG6" i="18"/>
  <c r="AW7" i="18"/>
  <c r="AX7" i="18"/>
  <c r="BC7" i="18"/>
  <c r="BD7" i="18"/>
  <c r="BF7" i="18"/>
  <c r="BG7" i="18"/>
  <c r="AW8" i="18"/>
  <c r="AX8" i="18"/>
  <c r="BC8" i="18"/>
  <c r="BD8" i="18"/>
  <c r="BF8" i="18"/>
  <c r="BG8" i="18"/>
  <c r="AW9" i="18"/>
  <c r="AX9" i="18"/>
  <c r="BC9" i="18"/>
  <c r="BD9" i="18"/>
  <c r="BF9" i="18"/>
  <c r="BG9" i="18"/>
  <c r="AW10" i="18"/>
  <c r="AX10" i="18"/>
  <c r="BC10" i="18"/>
  <c r="BD10" i="18"/>
  <c r="BF10" i="18"/>
  <c r="BG10" i="18"/>
  <c r="AW11" i="18"/>
  <c r="AX11" i="18"/>
  <c r="BC11" i="18"/>
  <c r="BD11" i="18"/>
  <c r="BF11" i="18"/>
  <c r="BG11" i="18"/>
  <c r="AW12" i="18"/>
  <c r="AX12" i="18"/>
  <c r="BC12" i="18"/>
  <c r="BD12" i="18"/>
  <c r="BF12" i="18"/>
  <c r="BG12" i="18"/>
  <c r="AW13" i="18"/>
  <c r="AX13" i="18"/>
  <c r="BC13" i="18"/>
  <c r="BD13" i="18"/>
  <c r="BF13" i="18"/>
  <c r="BG13" i="18"/>
  <c r="AW14" i="18"/>
  <c r="AX14" i="18"/>
  <c r="BC14" i="18"/>
  <c r="BD14" i="18"/>
  <c r="BF14" i="18"/>
  <c r="BG14" i="18"/>
  <c r="AW15" i="18"/>
  <c r="AX15" i="18"/>
  <c r="BC15" i="18"/>
  <c r="BD15" i="18"/>
  <c r="BF15" i="18"/>
  <c r="BG15" i="18"/>
  <c r="AW16" i="18"/>
  <c r="AX16" i="18"/>
  <c r="BC16" i="18"/>
  <c r="BD16" i="18"/>
  <c r="BF16" i="18"/>
  <c r="BG16" i="18"/>
  <c r="AW17" i="18"/>
  <c r="AX17" i="18"/>
  <c r="BC17" i="18"/>
  <c r="BD17" i="18"/>
  <c r="BF17" i="18"/>
  <c r="BG17" i="18"/>
  <c r="AW18" i="18"/>
  <c r="AX18" i="18"/>
  <c r="BC18" i="18"/>
  <c r="BD18" i="18"/>
  <c r="BF18" i="18"/>
  <c r="BG18" i="18"/>
  <c r="AW19" i="18"/>
  <c r="AX19" i="18"/>
  <c r="BC19" i="18"/>
  <c r="BD19" i="18"/>
  <c r="BF19" i="18"/>
  <c r="BG19" i="18"/>
  <c r="AW20" i="18"/>
  <c r="AX20" i="18"/>
  <c r="BC20" i="18"/>
  <c r="BD20" i="18"/>
  <c r="BF20" i="18"/>
  <c r="BG20" i="18"/>
  <c r="AW21" i="18"/>
  <c r="AX21" i="18"/>
  <c r="BC21" i="18"/>
  <c r="BD21" i="18"/>
  <c r="BF21" i="18"/>
  <c r="BG21" i="18"/>
  <c r="AW22" i="18"/>
  <c r="AX22" i="18"/>
  <c r="BC22" i="18"/>
  <c r="BD22" i="18"/>
  <c r="BF22" i="18"/>
  <c r="BG22" i="18"/>
  <c r="AW23" i="18"/>
  <c r="AX23" i="18"/>
  <c r="BC23" i="18"/>
  <c r="BD23" i="18"/>
  <c r="BF23" i="18"/>
  <c r="BG23" i="18"/>
  <c r="AW24" i="18"/>
  <c r="AX24" i="18"/>
  <c r="BC24" i="18"/>
  <c r="BD24" i="18"/>
  <c r="BF24" i="18"/>
  <c r="BG24" i="18"/>
  <c r="AW25" i="18"/>
  <c r="AX25" i="18"/>
  <c r="BC25" i="18"/>
  <c r="BD25" i="18"/>
  <c r="BF25" i="18"/>
  <c r="BG25" i="18"/>
  <c r="AW26" i="18"/>
  <c r="AX26" i="18"/>
  <c r="BC26" i="18"/>
  <c r="BD26" i="18"/>
  <c r="BF26" i="18"/>
  <c r="BG26" i="18"/>
  <c r="AW27" i="18"/>
  <c r="AX27" i="18"/>
  <c r="BC27" i="18"/>
  <c r="BD27" i="18"/>
  <c r="BF27" i="18"/>
  <c r="BG27" i="18"/>
  <c r="AW28" i="18"/>
  <c r="AX28" i="18"/>
  <c r="BC28" i="18"/>
  <c r="BD28" i="18"/>
  <c r="BF28" i="18"/>
  <c r="BG28" i="18"/>
  <c r="AW29" i="18"/>
  <c r="AX29" i="18"/>
  <c r="BC29" i="18"/>
  <c r="BD29" i="18"/>
  <c r="BF29" i="18"/>
  <c r="BG29" i="18"/>
  <c r="AW30" i="18"/>
  <c r="AX30" i="18"/>
  <c r="BC30" i="18"/>
  <c r="BD30" i="18"/>
  <c r="BF30" i="18"/>
  <c r="BG30" i="18"/>
  <c r="AW31" i="18"/>
  <c r="AX31" i="18"/>
  <c r="BC31" i="18"/>
  <c r="BD31" i="18"/>
  <c r="BF31" i="18"/>
  <c r="BG31" i="18"/>
  <c r="AW32" i="18"/>
  <c r="AX32" i="18"/>
  <c r="BC32" i="18"/>
  <c r="BD32" i="18"/>
  <c r="BF32" i="18"/>
  <c r="BG32" i="18"/>
  <c r="AW33" i="18"/>
  <c r="AX33" i="18"/>
  <c r="BC33" i="18"/>
  <c r="BD33" i="18"/>
  <c r="BF33" i="18"/>
  <c r="BG33" i="18"/>
  <c r="AW34" i="18"/>
  <c r="AX34" i="18"/>
  <c r="BC34" i="18"/>
  <c r="BD34" i="18"/>
  <c r="BF34" i="18"/>
  <c r="BG34" i="18"/>
  <c r="AW35" i="18"/>
  <c r="AX35" i="18"/>
  <c r="BC35" i="18"/>
  <c r="BD35" i="18"/>
  <c r="BF35" i="18"/>
  <c r="BG35" i="18"/>
  <c r="AW36" i="18"/>
  <c r="AX36" i="18"/>
  <c r="BC36" i="18"/>
  <c r="BD36" i="18"/>
  <c r="BF36" i="18"/>
  <c r="BG36" i="18"/>
  <c r="AW37" i="18"/>
  <c r="AX37" i="18"/>
  <c r="BC37" i="18"/>
  <c r="BD37" i="18"/>
  <c r="BF37" i="18"/>
  <c r="BG37" i="18"/>
  <c r="AW38" i="18"/>
  <c r="AX38" i="18"/>
  <c r="BC38" i="18"/>
  <c r="BD38" i="18"/>
  <c r="BF38" i="18"/>
  <c r="BG38" i="18"/>
  <c r="AW39" i="18"/>
  <c r="AX39" i="18"/>
  <c r="BC39" i="18"/>
  <c r="BD39" i="18"/>
  <c r="BF39" i="18"/>
  <c r="BG39" i="18"/>
  <c r="AW40" i="18"/>
  <c r="AX40" i="18"/>
  <c r="BC40" i="18"/>
  <c r="BD40" i="18"/>
  <c r="BF40" i="18"/>
  <c r="BG40" i="18"/>
  <c r="AW41" i="18"/>
  <c r="AX41" i="18"/>
  <c r="BC41" i="18"/>
  <c r="BD41" i="18"/>
  <c r="BF41" i="18"/>
  <c r="BG41" i="18"/>
  <c r="AW42" i="18"/>
  <c r="AX42" i="18"/>
  <c r="BC42" i="18"/>
  <c r="BD42" i="18"/>
  <c r="BF42" i="18"/>
  <c r="BG42" i="18"/>
  <c r="AW43" i="18"/>
  <c r="AX43" i="18"/>
  <c r="BC43" i="18"/>
  <c r="BD43" i="18"/>
  <c r="BF43" i="18"/>
  <c r="BG43" i="18"/>
  <c r="AW44" i="18"/>
  <c r="AX44" i="18"/>
  <c r="BC44" i="18"/>
  <c r="BD44" i="18"/>
  <c r="BF44" i="18"/>
  <c r="BG44" i="18"/>
  <c r="AW45" i="18"/>
  <c r="AX45" i="18"/>
  <c r="BC45" i="18"/>
  <c r="BD45" i="18"/>
  <c r="BF45" i="18"/>
  <c r="BG45" i="18"/>
  <c r="AW46" i="18"/>
  <c r="AX46" i="18"/>
  <c r="BC46" i="18"/>
  <c r="BD46" i="18"/>
  <c r="BF46" i="18"/>
  <c r="BG46" i="18"/>
  <c r="AW47" i="18"/>
  <c r="AX47" i="18"/>
  <c r="BC47" i="18"/>
  <c r="BD47" i="18"/>
  <c r="BF47" i="18"/>
  <c r="BG47" i="18"/>
  <c r="AW48" i="18"/>
  <c r="AX48" i="18"/>
  <c r="BC48" i="18"/>
  <c r="BD48" i="18"/>
  <c r="BF48" i="18"/>
  <c r="BG48" i="18"/>
  <c r="AW49" i="18"/>
  <c r="AX49" i="18"/>
  <c r="BC49" i="18"/>
  <c r="BD49" i="18"/>
  <c r="BF49" i="18"/>
  <c r="BG49" i="18"/>
  <c r="AW50" i="18"/>
  <c r="AX50" i="18"/>
  <c r="BC50" i="18"/>
  <c r="BD50" i="18"/>
  <c r="BF50" i="18"/>
  <c r="BG50" i="18"/>
  <c r="AW51" i="18"/>
  <c r="AX51" i="18"/>
  <c r="BC51" i="18"/>
  <c r="BD51" i="18"/>
  <c r="BF51" i="18"/>
  <c r="BG51" i="18"/>
  <c r="AW52" i="18"/>
  <c r="AX52" i="18"/>
  <c r="BC52" i="18"/>
  <c r="BD52" i="18"/>
  <c r="BF52" i="18"/>
  <c r="BG52" i="18"/>
  <c r="AW53" i="18"/>
  <c r="AX53" i="18"/>
  <c r="BC53" i="18"/>
  <c r="BD53" i="18"/>
  <c r="BF53" i="18"/>
  <c r="BG53" i="18"/>
  <c r="AW54" i="18"/>
  <c r="AX54" i="18"/>
  <c r="BC54" i="18"/>
  <c r="BD54" i="18"/>
  <c r="BF54" i="18"/>
  <c r="BG54" i="18"/>
  <c r="AW55" i="18"/>
  <c r="AX55" i="18"/>
  <c r="BC55" i="18"/>
  <c r="BD55" i="18"/>
  <c r="BF55" i="18"/>
  <c r="BG55" i="18"/>
  <c r="AJ33" i="17" l="1"/>
  <c r="AI33" i="17"/>
  <c r="AJ32" i="17"/>
  <c r="AI32" i="17"/>
  <c r="AJ31" i="17"/>
  <c r="AI31" i="17"/>
  <c r="AJ30" i="17"/>
  <c r="AI30" i="17"/>
  <c r="Y30" i="17"/>
  <c r="Z30" i="17"/>
  <c r="AA30" i="17"/>
  <c r="AB30" i="17"/>
  <c r="Y31" i="17"/>
  <c r="Z31" i="17"/>
  <c r="AA31" i="17"/>
  <c r="AB31" i="17"/>
  <c r="Y32" i="17"/>
  <c r="Z32" i="17"/>
  <c r="AA32" i="17"/>
  <c r="AB32" i="17"/>
  <c r="Y33" i="17"/>
  <c r="Z33" i="17"/>
  <c r="AA33" i="17"/>
  <c r="AB33" i="17"/>
  <c r="AR52" i="2"/>
  <c r="AQ52" i="2"/>
  <c r="AR51" i="2"/>
  <c r="AQ51" i="2"/>
  <c r="AR50" i="2"/>
  <c r="AQ50" i="2"/>
  <c r="AR49" i="2"/>
  <c r="AQ49" i="2"/>
  <c r="AN52" i="2"/>
  <c r="AM52" i="2"/>
  <c r="AL52" i="2"/>
  <c r="AK52" i="2"/>
  <c r="AJ52" i="2"/>
  <c r="AI52" i="2"/>
  <c r="AH52" i="2"/>
  <c r="AG52" i="2"/>
  <c r="AN51" i="2"/>
  <c r="AM51" i="2"/>
  <c r="AL51" i="2"/>
  <c r="AK51" i="2"/>
  <c r="AJ51" i="2"/>
  <c r="AI51" i="2"/>
  <c r="AH51" i="2"/>
  <c r="AG51" i="2"/>
  <c r="AN50" i="2"/>
  <c r="AM50" i="2"/>
  <c r="AL50" i="2"/>
  <c r="AK50" i="2"/>
  <c r="AJ50" i="2"/>
  <c r="AI50" i="2"/>
  <c r="AH50" i="2"/>
  <c r="AG50" i="2"/>
  <c r="AN49" i="2"/>
  <c r="AN53" i="2" s="1"/>
  <c r="AM49" i="2"/>
  <c r="AM53" i="2" s="1"/>
  <c r="AL49" i="2"/>
  <c r="AL53" i="2" s="1"/>
  <c r="AK49" i="2"/>
  <c r="AK53" i="2" s="1"/>
  <c r="AJ49" i="2"/>
  <c r="AI49" i="2"/>
  <c r="AI53" i="2" s="1"/>
  <c r="AH49" i="2"/>
  <c r="AH53" i="2" s="1"/>
  <c r="AG49" i="2"/>
  <c r="AD52" i="2"/>
  <c r="AC52" i="2"/>
  <c r="AB52" i="2"/>
  <c r="AA52" i="2"/>
  <c r="Z52" i="2"/>
  <c r="AD51" i="2"/>
  <c r="AC51" i="2"/>
  <c r="AB51" i="2"/>
  <c r="AA51" i="2"/>
  <c r="Z51" i="2"/>
  <c r="AD50" i="2"/>
  <c r="AC50" i="2"/>
  <c r="AB50" i="2"/>
  <c r="AA50" i="2"/>
  <c r="Z50" i="2"/>
  <c r="AD49" i="2"/>
  <c r="AC49" i="2"/>
  <c r="AB49" i="2"/>
  <c r="AA49" i="2"/>
  <c r="Z49" i="2"/>
  <c r="Y52" i="2"/>
  <c r="Y51" i="2"/>
  <c r="Y50" i="2"/>
  <c r="Y49" i="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AK32" i="12"/>
  <c r="AJ32" i="12"/>
  <c r="AI32" i="12"/>
  <c r="AH32" i="12"/>
  <c r="AH36" i="12" s="1"/>
  <c r="AG32" i="12"/>
  <c r="AF32" i="12"/>
  <c r="AE32" i="12"/>
  <c r="AD32" i="12"/>
  <c r="AC32" i="12"/>
  <c r="AB32" i="12"/>
  <c r="AA32" i="12"/>
  <c r="Z32" i="12"/>
  <c r="Z36" i="12" s="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AK28" i="22"/>
  <c r="AJ28" i="22"/>
  <c r="AK27" i="22"/>
  <c r="AJ27" i="22"/>
  <c r="AK26" i="22"/>
  <c r="AJ26" i="22"/>
  <c r="AK25" i="22"/>
  <c r="AJ25" i="22"/>
  <c r="AJ29" i="22" s="1"/>
  <c r="Z25" i="22"/>
  <c r="AA25" i="22"/>
  <c r="Z26" i="22"/>
  <c r="AA26" i="22"/>
  <c r="Z27" i="22"/>
  <c r="AA27" i="22"/>
  <c r="Z28" i="22"/>
  <c r="AA28" i="22"/>
  <c r="AA29" i="22" s="1"/>
  <c r="AK45" i="1"/>
  <c r="AJ45" i="1"/>
  <c r="AI45" i="1"/>
  <c r="AH45" i="1"/>
  <c r="AG45" i="1"/>
  <c r="AF45" i="1"/>
  <c r="AE45" i="1"/>
  <c r="AD45" i="1"/>
  <c r="AK44" i="1"/>
  <c r="AJ44" i="1"/>
  <c r="AI44" i="1"/>
  <c r="AH44" i="1"/>
  <c r="AG44" i="1"/>
  <c r="AF44" i="1"/>
  <c r="AE44" i="1"/>
  <c r="AD44" i="1"/>
  <c r="AK43" i="1"/>
  <c r="AJ43" i="1"/>
  <c r="AI43" i="1"/>
  <c r="AH43" i="1"/>
  <c r="AG43" i="1"/>
  <c r="AF43" i="1"/>
  <c r="AE43" i="1"/>
  <c r="AD43" i="1"/>
  <c r="AK42" i="1"/>
  <c r="AJ42" i="1"/>
  <c r="AI42" i="1"/>
  <c r="AI46" i="1" s="1"/>
  <c r="AH42" i="1"/>
  <c r="AG42" i="1"/>
  <c r="AF42" i="1"/>
  <c r="AF46" i="1" s="1"/>
  <c r="AE42" i="1"/>
  <c r="AE46" i="1" s="1"/>
  <c r="AD42" i="1"/>
  <c r="AA45" i="1"/>
  <c r="Z45" i="1"/>
  <c r="Y45" i="1"/>
  <c r="X45" i="1"/>
  <c r="W45" i="1"/>
  <c r="V45" i="1"/>
  <c r="U45" i="1"/>
  <c r="AA44" i="1"/>
  <c r="Z44" i="1"/>
  <c r="Y44" i="1"/>
  <c r="X44" i="1"/>
  <c r="W44" i="1"/>
  <c r="V44" i="1"/>
  <c r="U44" i="1"/>
  <c r="AA43" i="1"/>
  <c r="Z43" i="1"/>
  <c r="Y43" i="1"/>
  <c r="X43" i="1"/>
  <c r="W43" i="1"/>
  <c r="V43" i="1"/>
  <c r="U43" i="1"/>
  <c r="AA42" i="1"/>
  <c r="Z42" i="1"/>
  <c r="Y42" i="1"/>
  <c r="X42" i="1"/>
  <c r="W42" i="1"/>
  <c r="V42" i="1"/>
  <c r="U42" i="1"/>
  <c r="T45" i="1"/>
  <c r="T44" i="1"/>
  <c r="T43" i="1"/>
  <c r="T42" i="1"/>
  <c r="AH55" i="9"/>
  <c r="AG55" i="9"/>
  <c r="AF55" i="9"/>
  <c r="AE55" i="9"/>
  <c r="AD55" i="9"/>
  <c r="AC55" i="9"/>
  <c r="AH54" i="9"/>
  <c r="AG54" i="9"/>
  <c r="AF54" i="9"/>
  <c r="AE54" i="9"/>
  <c r="AD54" i="9"/>
  <c r="AC54" i="9"/>
  <c r="AH53" i="9"/>
  <c r="AG53" i="9"/>
  <c r="AF53" i="9"/>
  <c r="AE53" i="9"/>
  <c r="AD53" i="9"/>
  <c r="AC53" i="9"/>
  <c r="AH52" i="9"/>
  <c r="AG52" i="9"/>
  <c r="AF52" i="9"/>
  <c r="AE52" i="9"/>
  <c r="AD52" i="9"/>
  <c r="AC52" i="9"/>
  <c r="T52" i="9"/>
  <c r="U52" i="9"/>
  <c r="V52" i="9"/>
  <c r="W52" i="9"/>
  <c r="X52" i="9"/>
  <c r="T53" i="9"/>
  <c r="U53" i="9"/>
  <c r="V53" i="9"/>
  <c r="W53" i="9"/>
  <c r="X53" i="9"/>
  <c r="T54" i="9"/>
  <c r="U54" i="9"/>
  <c r="V54" i="9"/>
  <c r="W54" i="9"/>
  <c r="X54" i="9"/>
  <c r="T55" i="9"/>
  <c r="U55" i="9"/>
  <c r="V55" i="9"/>
  <c r="W55" i="9"/>
  <c r="X55" i="9"/>
  <c r="S55" i="9"/>
  <c r="S54" i="9"/>
  <c r="S53" i="9"/>
  <c r="S52" i="9"/>
  <c r="AJ53" i="2" l="1"/>
  <c r="AJ36" i="12"/>
  <c r="AD46" i="1"/>
  <c r="AK46" i="1"/>
  <c r="AJ46" i="1"/>
  <c r="AG46" i="1"/>
  <c r="AH46" i="1"/>
  <c r="AF35" i="11"/>
  <c r="AE35" i="11"/>
  <c r="Z34" i="17"/>
  <c r="Y34" i="17"/>
  <c r="AF36" i="12"/>
  <c r="AB36" i="12"/>
  <c r="AE36" i="12"/>
  <c r="AG36" i="12"/>
  <c r="Y35" i="11"/>
  <c r="AG35" i="11"/>
  <c r="Z35" i="11"/>
  <c r="AA35" i="11"/>
  <c r="AI35" i="11"/>
  <c r="AH35" i="11"/>
  <c r="AD35" i="11"/>
  <c r="AB35" i="11"/>
  <c r="AC36" i="12"/>
  <c r="AK36" i="12"/>
  <c r="AG53" i="2"/>
  <c r="AC35" i="11"/>
  <c r="AD36" i="12"/>
  <c r="AA36" i="12"/>
  <c r="AI36" i="12"/>
  <c r="AJ35" i="11"/>
  <c r="X46" i="1"/>
  <c r="AC56" i="9"/>
  <c r="AG56" i="9"/>
  <c r="AI34" i="17"/>
  <c r="AA34" i="17"/>
  <c r="AA53" i="2"/>
  <c r="AR53" i="2"/>
  <c r="AK29" i="22"/>
  <c r="Z29" i="22"/>
  <c r="AE56" i="9"/>
  <c r="AB34" i="17"/>
  <c r="AC53" i="2"/>
  <c r="AQ53" i="2"/>
  <c r="AB53" i="2"/>
  <c r="Z53" i="2"/>
  <c r="AA46" i="1"/>
  <c r="V46" i="1"/>
  <c r="U56" i="9"/>
  <c r="AF56" i="9"/>
  <c r="X56" i="9"/>
  <c r="T56" i="9"/>
  <c r="W56" i="9"/>
  <c r="AD53" i="2"/>
  <c r="AJ34" i="17"/>
  <c r="V56" i="9"/>
  <c r="AD56" i="9"/>
  <c r="AH56" i="9"/>
  <c r="U46" i="1"/>
  <c r="Y46" i="1"/>
  <c r="W46" i="1"/>
  <c r="Z46" i="1"/>
  <c r="BK23" i="15"/>
  <c r="BJ23" i="15"/>
  <c r="BI23" i="15"/>
  <c r="BH23" i="15"/>
  <c r="BG23" i="15"/>
  <c r="BF23" i="15"/>
  <c r="BB23" i="15"/>
  <c r="BA23" i="15"/>
  <c r="AZ23" i="15"/>
  <c r="BK22" i="15"/>
  <c r="BJ22" i="15"/>
  <c r="BI22" i="15"/>
  <c r="BH22" i="15"/>
  <c r="BG22" i="15"/>
  <c r="BF22" i="15"/>
  <c r="BB22" i="15"/>
  <c r="BA22" i="15"/>
  <c r="AZ22" i="15"/>
  <c r="BK21" i="15"/>
  <c r="BJ21" i="15"/>
  <c r="BI21" i="15"/>
  <c r="BH21" i="15"/>
  <c r="BG21" i="15"/>
  <c r="BF21" i="15"/>
  <c r="BB21" i="15"/>
  <c r="BA21" i="15"/>
  <c r="AZ21" i="15"/>
  <c r="BK20" i="15"/>
  <c r="BJ20" i="15"/>
  <c r="BI20" i="15"/>
  <c r="BH20" i="15"/>
  <c r="BG20" i="15"/>
  <c r="BF20" i="15"/>
  <c r="BB20" i="15"/>
  <c r="BA20" i="15"/>
  <c r="AZ20" i="15"/>
  <c r="BK19" i="15"/>
  <c r="BJ19" i="15"/>
  <c r="BI19" i="15"/>
  <c r="BH19" i="15"/>
  <c r="BG19" i="15"/>
  <c r="BF19" i="15"/>
  <c r="BB19" i="15"/>
  <c r="BA19" i="15"/>
  <c r="AZ19" i="15"/>
  <c r="BK18" i="15" l="1"/>
  <c r="BJ18" i="15"/>
  <c r="BI18" i="15"/>
  <c r="BH18" i="15"/>
  <c r="BG18" i="15"/>
  <c r="BF18" i="15"/>
  <c r="BB18" i="15"/>
  <c r="BA18" i="15"/>
  <c r="AZ18" i="15"/>
  <c r="AW18" i="11" l="1"/>
  <c r="AX18" i="11"/>
  <c r="BC18" i="11"/>
  <c r="BD18" i="11"/>
  <c r="BF18" i="11"/>
  <c r="BG18" i="11"/>
  <c r="BC6" i="2" l="1"/>
  <c r="BD6" i="2"/>
  <c r="BE6" i="2"/>
  <c r="BI6" i="2"/>
  <c r="BJ6" i="2"/>
  <c r="BK6" i="2"/>
  <c r="BL6" i="2"/>
  <c r="BM6" i="2"/>
  <c r="BN6" i="2"/>
  <c r="AY5" i="12"/>
  <c r="AZ5" i="12"/>
  <c r="BE5" i="12"/>
  <c r="BF5" i="12"/>
  <c r="BH5" i="12"/>
  <c r="BI5" i="12"/>
  <c r="AY6" i="12"/>
  <c r="AZ6" i="12"/>
  <c r="BE6" i="12"/>
  <c r="BF6" i="12"/>
  <c r="BH6" i="12"/>
  <c r="BI6" i="12"/>
  <c r="AY7" i="12"/>
  <c r="AZ7" i="12"/>
  <c r="BE7" i="12"/>
  <c r="BF7" i="12"/>
  <c r="BH7" i="12"/>
  <c r="BI7" i="12"/>
  <c r="AY8" i="12"/>
  <c r="AZ8" i="12"/>
  <c r="BE8" i="12"/>
  <c r="BF8" i="12"/>
  <c r="BH8" i="12"/>
  <c r="BI8" i="12"/>
  <c r="AY9" i="12"/>
  <c r="AZ9" i="12"/>
  <c r="BE9" i="12"/>
  <c r="BF9" i="12"/>
  <c r="BH9" i="12"/>
  <c r="BI9" i="12"/>
  <c r="AY10" i="12"/>
  <c r="AZ10" i="12"/>
  <c r="BE10" i="12"/>
  <c r="BF10" i="12"/>
  <c r="BH10" i="12"/>
  <c r="BI10" i="12"/>
  <c r="AY11" i="12"/>
  <c r="AZ11" i="12"/>
  <c r="BE11" i="12"/>
  <c r="BF11" i="12"/>
  <c r="BH11" i="12"/>
  <c r="BI11" i="12"/>
  <c r="AY12" i="12"/>
  <c r="AZ12" i="12"/>
  <c r="BE12" i="12"/>
  <c r="BF12" i="12"/>
  <c r="BH12" i="12"/>
  <c r="BI12" i="12"/>
  <c r="AY13" i="12"/>
  <c r="AZ13" i="12"/>
  <c r="BE13" i="12"/>
  <c r="BF13" i="12"/>
  <c r="BH13" i="12"/>
  <c r="BI13" i="12"/>
  <c r="AY14" i="12"/>
  <c r="AZ14" i="12"/>
  <c r="BE14" i="12"/>
  <c r="BF14" i="12"/>
  <c r="BH14" i="12"/>
  <c r="BI14" i="12"/>
  <c r="AW5" i="18" l="1"/>
  <c r="AX5" i="18"/>
  <c r="BC5" i="18"/>
  <c r="BD5" i="18"/>
  <c r="BF5" i="18"/>
  <c r="BG5" i="18"/>
  <c r="AW5" i="17"/>
  <c r="AX5" i="17"/>
  <c r="BC5" i="17"/>
  <c r="BD5" i="17"/>
  <c r="BF5" i="17"/>
  <c r="BG5" i="17"/>
  <c r="AW6" i="17"/>
  <c r="AX6" i="17"/>
  <c r="BC6" i="17"/>
  <c r="BD6" i="17"/>
  <c r="BF6" i="17"/>
  <c r="BG6" i="17"/>
  <c r="AW7" i="17"/>
  <c r="AX7" i="17"/>
  <c r="BC7" i="17"/>
  <c r="BD7" i="17"/>
  <c r="BF7" i="17"/>
  <c r="BG7" i="17"/>
  <c r="AW8" i="17"/>
  <c r="AX8" i="17"/>
  <c r="BC8" i="17"/>
  <c r="BD8" i="17"/>
  <c r="BF8" i="17"/>
  <c r="BG8" i="17"/>
  <c r="AZ5" i="16"/>
  <c r="BA5" i="16"/>
  <c r="BB5" i="16"/>
  <c r="BF5" i="16"/>
  <c r="BG5" i="16"/>
  <c r="BH5" i="16"/>
  <c r="BI5" i="16"/>
  <c r="BJ5" i="16"/>
  <c r="BK5" i="16"/>
  <c r="AZ6" i="16"/>
  <c r="BA6" i="16"/>
  <c r="BB6" i="16"/>
  <c r="BF6" i="16"/>
  <c r="BG6" i="16"/>
  <c r="BH6" i="16"/>
  <c r="BI6" i="16"/>
  <c r="BJ6" i="16"/>
  <c r="BK6" i="16"/>
  <c r="AZ7" i="16"/>
  <c r="BA7" i="16"/>
  <c r="BB7" i="16"/>
  <c r="BF7" i="16"/>
  <c r="BG7" i="16"/>
  <c r="BH7" i="16"/>
  <c r="BI7" i="16"/>
  <c r="BJ7" i="16"/>
  <c r="BK7" i="16"/>
  <c r="AZ8" i="16"/>
  <c r="BA8" i="16"/>
  <c r="BB8" i="16"/>
  <c r="BF8" i="16"/>
  <c r="BG8" i="16"/>
  <c r="BH8" i="16"/>
  <c r="BI8" i="16"/>
  <c r="BJ8" i="16"/>
  <c r="BK8" i="16"/>
  <c r="AZ9" i="16"/>
  <c r="BA9" i="16"/>
  <c r="BB9" i="16"/>
  <c r="BF9" i="16"/>
  <c r="BG9" i="16"/>
  <c r="BH9" i="16"/>
  <c r="BI9" i="16"/>
  <c r="BJ9" i="16"/>
  <c r="BK9" i="16"/>
  <c r="AZ10" i="16"/>
  <c r="BA10" i="16"/>
  <c r="BB10" i="16"/>
  <c r="BF10" i="16"/>
  <c r="BG10" i="16"/>
  <c r="BH10" i="16"/>
  <c r="BI10" i="16"/>
  <c r="BJ10" i="16"/>
  <c r="BK10" i="16"/>
  <c r="AZ11" i="16"/>
  <c r="BA11" i="16"/>
  <c r="BB11" i="16"/>
  <c r="BF11" i="16"/>
  <c r="BG11" i="16"/>
  <c r="BH11" i="16"/>
  <c r="BI11" i="16"/>
  <c r="BJ11" i="16"/>
  <c r="BK11" i="16"/>
  <c r="AZ12" i="16"/>
  <c r="BA12" i="16"/>
  <c r="BB12" i="16"/>
  <c r="BF12" i="16"/>
  <c r="BG12" i="16"/>
  <c r="BH12" i="16"/>
  <c r="BI12" i="16"/>
  <c r="BJ12" i="16"/>
  <c r="BK12" i="16"/>
  <c r="AZ13" i="16"/>
  <c r="BA13" i="16"/>
  <c r="BB13" i="16"/>
  <c r="BF13" i="16"/>
  <c r="BG13" i="16"/>
  <c r="BH13" i="16"/>
  <c r="BI13" i="16"/>
  <c r="BJ13" i="16"/>
  <c r="BK13" i="16"/>
  <c r="BE5" i="4"/>
  <c r="BF5" i="4"/>
  <c r="BG5" i="4"/>
  <c r="BK5" i="4"/>
  <c r="BL5" i="4"/>
  <c r="BM5" i="4"/>
  <c r="BN5" i="4"/>
  <c r="BO5" i="4"/>
  <c r="BP5" i="4"/>
  <c r="BE6" i="4"/>
  <c r="BF6" i="4"/>
  <c r="BG6" i="4"/>
  <c r="BK6" i="4"/>
  <c r="BL6" i="4"/>
  <c r="BM6" i="4"/>
  <c r="BN6" i="4"/>
  <c r="BO6" i="4"/>
  <c r="BP6" i="4"/>
  <c r="BE7" i="4"/>
  <c r="BF7" i="4"/>
  <c r="BG7" i="4"/>
  <c r="BK7" i="4"/>
  <c r="BL7" i="4"/>
  <c r="BM7" i="4"/>
  <c r="BN7" i="4"/>
  <c r="BO7" i="4"/>
  <c r="BP7" i="4"/>
  <c r="BE8" i="4"/>
  <c r="BF8" i="4"/>
  <c r="BG8" i="4"/>
  <c r="BK8" i="4"/>
  <c r="BL8" i="4"/>
  <c r="BM8" i="4"/>
  <c r="BN8" i="4"/>
  <c r="BO8" i="4"/>
  <c r="BP8" i="4"/>
  <c r="BF49" i="2"/>
  <c r="BG49" i="2"/>
  <c r="BH49" i="2"/>
  <c r="AX50" i="2"/>
  <c r="BC5" i="2"/>
  <c r="BD5" i="2"/>
  <c r="BE5" i="2"/>
  <c r="BI5" i="2"/>
  <c r="BJ5" i="2"/>
  <c r="BK5" i="2"/>
  <c r="BL5" i="2"/>
  <c r="BM5" i="2"/>
  <c r="BN5" i="2"/>
  <c r="BC7" i="2"/>
  <c r="BD7" i="2"/>
  <c r="BE7" i="2"/>
  <c r="BI7" i="2"/>
  <c r="BJ7" i="2"/>
  <c r="BK7" i="2"/>
  <c r="BL7" i="2"/>
  <c r="BM7" i="2"/>
  <c r="BN7" i="2"/>
  <c r="BC8" i="2"/>
  <c r="BD8" i="2"/>
  <c r="BE8" i="2"/>
  <c r="BI8" i="2"/>
  <c r="BJ8" i="2"/>
  <c r="BK8" i="2"/>
  <c r="BL8" i="2"/>
  <c r="BM8" i="2"/>
  <c r="BN8" i="2"/>
  <c r="BC9" i="2"/>
  <c r="BD9" i="2"/>
  <c r="BE9" i="2"/>
  <c r="BI9" i="2"/>
  <c r="BJ9" i="2"/>
  <c r="BK9" i="2"/>
  <c r="BL9" i="2"/>
  <c r="BM9" i="2"/>
  <c r="BN9" i="2"/>
  <c r="BC10" i="2"/>
  <c r="BD10" i="2"/>
  <c r="BE10" i="2"/>
  <c r="BI10" i="2"/>
  <c r="BJ10" i="2"/>
  <c r="BK10" i="2"/>
  <c r="BL10" i="2"/>
  <c r="BM10" i="2"/>
  <c r="BN10" i="2"/>
  <c r="BC11" i="2"/>
  <c r="BD11" i="2"/>
  <c r="BE11" i="2"/>
  <c r="BI11" i="2"/>
  <c r="BJ11" i="2"/>
  <c r="BK11" i="2"/>
  <c r="BL11" i="2"/>
  <c r="BM11" i="2"/>
  <c r="BN11" i="2"/>
  <c r="AY15" i="12"/>
  <c r="AZ15" i="12"/>
  <c r="BE15" i="12"/>
  <c r="BF15" i="12"/>
  <c r="BH15" i="12"/>
  <c r="BI15" i="12"/>
  <c r="AY16" i="12"/>
  <c r="AZ16" i="12"/>
  <c r="BE16" i="12"/>
  <c r="BF16" i="12"/>
  <c r="BH16" i="12"/>
  <c r="BI16" i="12"/>
  <c r="AY17" i="12"/>
  <c r="AZ17" i="12"/>
  <c r="BE17" i="12"/>
  <c r="BF17" i="12"/>
  <c r="BH17" i="12"/>
  <c r="BI17" i="12"/>
  <c r="AY18" i="12"/>
  <c r="AZ18" i="12"/>
  <c r="BE18" i="12"/>
  <c r="BF18" i="12"/>
  <c r="BH18" i="12"/>
  <c r="BI18" i="12"/>
  <c r="AY19" i="12"/>
  <c r="AZ19" i="12"/>
  <c r="BE19" i="12"/>
  <c r="BF19" i="12"/>
  <c r="BH19" i="12"/>
  <c r="BI19" i="12"/>
  <c r="AW5" i="11"/>
  <c r="AX5" i="11"/>
  <c r="BC5" i="11"/>
  <c r="BD5" i="11"/>
  <c r="BF5" i="11"/>
  <c r="BG5" i="11"/>
  <c r="AW6" i="11"/>
  <c r="AX6" i="11"/>
  <c r="BC6" i="11"/>
  <c r="BD6" i="11"/>
  <c r="BF6" i="11"/>
  <c r="BG6" i="11"/>
  <c r="AW7" i="11"/>
  <c r="AX7" i="11"/>
  <c r="BC7" i="11"/>
  <c r="BD7" i="11"/>
  <c r="BF7" i="11"/>
  <c r="BG7" i="11"/>
  <c r="AW8" i="11"/>
  <c r="AX8" i="11"/>
  <c r="BC8" i="11"/>
  <c r="BD8" i="11"/>
  <c r="BF8" i="11"/>
  <c r="BG8" i="11"/>
  <c r="AW9" i="11"/>
  <c r="AX9" i="11"/>
  <c r="BC9" i="11"/>
  <c r="BD9" i="11"/>
  <c r="BF9" i="11"/>
  <c r="BG9" i="11"/>
  <c r="AW10" i="11"/>
  <c r="AX10" i="11"/>
  <c r="BC10" i="11"/>
  <c r="BD10" i="11"/>
  <c r="BF10" i="11"/>
  <c r="BG10" i="11"/>
  <c r="AW11" i="11"/>
  <c r="AX11" i="11"/>
  <c r="BC11" i="11"/>
  <c r="BD11" i="11"/>
  <c r="BF11" i="11"/>
  <c r="BG11" i="11"/>
  <c r="AW12" i="11"/>
  <c r="AX12" i="11"/>
  <c r="BC12" i="11"/>
  <c r="BD12" i="11"/>
  <c r="BF12" i="11"/>
  <c r="BG12" i="11"/>
  <c r="AW13" i="11"/>
  <c r="AX13" i="11"/>
  <c r="BC13" i="11"/>
  <c r="BD13" i="11"/>
  <c r="BF13" i="11"/>
  <c r="BG13" i="11"/>
  <c r="AZ31" i="11"/>
  <c r="BA31" i="11"/>
  <c r="BB31" i="11"/>
  <c r="AR32" i="11"/>
  <c r="AS26" i="22"/>
  <c r="AS43" i="1"/>
  <c r="BA42" i="1"/>
  <c r="BB42" i="1"/>
  <c r="BC42" i="1"/>
  <c r="BD42" i="1"/>
  <c r="BG42" i="1"/>
  <c r="BJ42" i="1"/>
  <c r="AY5" i="1"/>
  <c r="AZ5" i="1"/>
  <c r="BE5" i="1"/>
  <c r="BF5" i="1"/>
  <c r="BH5" i="1"/>
  <c r="BI5" i="1"/>
  <c r="AY52" i="9"/>
  <c r="AZ52" i="9"/>
  <c r="BA52" i="9"/>
  <c r="BB52" i="9"/>
  <c r="BE52" i="9"/>
  <c r="BH52" i="9"/>
  <c r="AR53" i="9"/>
  <c r="AW5" i="9"/>
  <c r="AX5" i="9"/>
  <c r="BC5" i="9"/>
  <c r="BD5" i="9"/>
  <c r="BF5" i="9"/>
  <c r="BG5" i="9"/>
  <c r="AW44" i="9"/>
  <c r="AX44" i="9"/>
  <c r="BC44" i="9"/>
  <c r="BD44" i="9"/>
  <c r="BF44" i="9"/>
  <c r="BG44" i="9"/>
  <c r="AW45" i="9"/>
  <c r="AX45" i="9"/>
  <c r="BC45" i="9"/>
  <c r="BD45" i="9"/>
  <c r="BF45" i="9"/>
  <c r="BG45" i="9"/>
  <c r="AW46" i="9"/>
  <c r="AX46" i="9"/>
  <c r="BC46" i="9"/>
  <c r="BD46" i="9"/>
  <c r="BF46" i="9"/>
  <c r="BG46" i="9"/>
  <c r="AW47" i="9"/>
  <c r="AX47" i="9"/>
  <c r="BC47" i="9"/>
  <c r="BD47" i="9"/>
  <c r="BF47" i="9"/>
  <c r="BG47" i="9"/>
  <c r="AW48" i="9"/>
  <c r="AX48" i="9"/>
  <c r="BC48" i="9"/>
  <c r="BD48" i="9"/>
  <c r="BF48" i="9"/>
  <c r="BG48" i="9"/>
  <c r="AW49" i="9"/>
  <c r="AX49" i="9"/>
  <c r="BC49" i="9"/>
  <c r="BD49" i="9"/>
  <c r="BF49" i="9"/>
  <c r="BG49" i="9"/>
  <c r="AW50" i="9"/>
  <c r="AX50" i="9"/>
  <c r="BC50" i="9"/>
  <c r="BD50" i="9"/>
  <c r="BF50" i="9"/>
  <c r="BG50" i="9"/>
  <c r="AZ5" i="15"/>
  <c r="BA5" i="15"/>
  <c r="BB5" i="15"/>
  <c r="BF5" i="15"/>
  <c r="BG5" i="15"/>
  <c r="BH5" i="15"/>
  <c r="BI5" i="15"/>
  <c r="BJ5" i="15"/>
  <c r="BK5" i="15"/>
  <c r="AZ6" i="15"/>
  <c r="BA6" i="15"/>
  <c r="BB6" i="15"/>
  <c r="BF6" i="15"/>
  <c r="BG6" i="15"/>
  <c r="BH6" i="15"/>
  <c r="BI6" i="15"/>
  <c r="BJ6" i="15"/>
  <c r="BK6" i="15"/>
  <c r="AZ7" i="15"/>
  <c r="BA7" i="15"/>
  <c r="BB7" i="15"/>
  <c r="BF7" i="15"/>
  <c r="BG7" i="15"/>
  <c r="BH7" i="15"/>
  <c r="BI7" i="15"/>
  <c r="BJ7" i="15"/>
  <c r="BK7" i="15"/>
  <c r="AZ8" i="15"/>
  <c r="BA8" i="15"/>
  <c r="BB8" i="15"/>
  <c r="BF8" i="15"/>
  <c r="BG8" i="15"/>
  <c r="BH8" i="15"/>
  <c r="BI8" i="15"/>
  <c r="BJ8" i="15"/>
  <c r="BK8" i="15"/>
  <c r="AZ9" i="15"/>
  <c r="BA9" i="15"/>
  <c r="BB9" i="15"/>
  <c r="BF9" i="15"/>
  <c r="BG9" i="15"/>
  <c r="BH9" i="15"/>
  <c r="BI9" i="15"/>
  <c r="BJ9" i="15"/>
  <c r="BK9" i="15"/>
  <c r="AZ10" i="15"/>
  <c r="BA10" i="15"/>
  <c r="BB10" i="15"/>
  <c r="BF10" i="15"/>
  <c r="BG10" i="15"/>
  <c r="BH10" i="15"/>
  <c r="BI10" i="15"/>
  <c r="BJ10" i="15"/>
  <c r="BK10" i="15"/>
  <c r="BF6" i="8" l="1"/>
  <c r="BG6" i="8"/>
  <c r="BH6" i="8"/>
  <c r="BG52" i="9"/>
  <c r="BF52" i="9"/>
  <c r="BD52" i="9"/>
  <c r="BC52" i="9"/>
  <c r="AX52" i="9"/>
  <c r="AW52" i="9"/>
  <c r="BE9" i="4" l="1"/>
  <c r="BF9" i="4"/>
  <c r="BG9" i="4"/>
  <c r="BK9" i="4"/>
  <c r="BL9" i="4"/>
  <c r="BM9" i="4"/>
  <c r="BN9" i="4"/>
  <c r="BO9" i="4"/>
  <c r="BP9" i="4"/>
  <c r="AZ13" i="15" l="1"/>
  <c r="BA13" i="15"/>
  <c r="BB13" i="15"/>
  <c r="BF13" i="15"/>
  <c r="BG13" i="15"/>
  <c r="BH13" i="15"/>
  <c r="BI13" i="15"/>
  <c r="BJ13" i="15"/>
  <c r="BK13" i="15"/>
  <c r="AW14" i="11" l="1"/>
  <c r="AX14" i="11"/>
  <c r="BC14" i="11"/>
  <c r="BD14" i="11"/>
  <c r="BF14" i="11"/>
  <c r="BG14" i="11"/>
  <c r="X60" i="18" l="1"/>
  <c r="AL59" i="18"/>
  <c r="AK59" i="18"/>
  <c r="AH59" i="18"/>
  <c r="AG59" i="18"/>
  <c r="AF59" i="18"/>
  <c r="AE59" i="18"/>
  <c r="AD59" i="18"/>
  <c r="AC59" i="18"/>
  <c r="AB59" i="18"/>
  <c r="AA59" i="18"/>
  <c r="X59" i="18"/>
  <c r="W59" i="18"/>
  <c r="V59" i="18"/>
  <c r="U59" i="18"/>
  <c r="T59" i="18"/>
  <c r="S59" i="18"/>
  <c r="X58" i="18"/>
  <c r="X57" i="18"/>
  <c r="X33" i="17"/>
  <c r="AL32" i="17"/>
  <c r="AK32" i="17"/>
  <c r="AH32" i="17"/>
  <c r="AG32" i="17"/>
  <c r="AF32" i="17"/>
  <c r="AE32" i="17"/>
  <c r="AD32" i="17"/>
  <c r="AC32" i="17"/>
  <c r="X32" i="17"/>
  <c r="W32" i="17"/>
  <c r="V32" i="17"/>
  <c r="U32" i="17"/>
  <c r="T32" i="17"/>
  <c r="S32" i="17"/>
  <c r="X31" i="17"/>
  <c r="X30" i="17"/>
  <c r="BJ30" i="16"/>
  <c r="BI30" i="16"/>
  <c r="AO27" i="16"/>
  <c r="AN27" i="16"/>
  <c r="AK27" i="16"/>
  <c r="AJ27" i="16"/>
  <c r="AG27" i="16"/>
  <c r="AF27" i="16"/>
  <c r="AE27" i="16"/>
  <c r="AD27" i="16"/>
  <c r="AA27" i="16"/>
  <c r="Z27" i="16"/>
  <c r="W27" i="16"/>
  <c r="V27" i="16"/>
  <c r="BJ23" i="16"/>
  <c r="BI23" i="16"/>
  <c r="BG23" i="16"/>
  <c r="BF23" i="16"/>
  <c r="BA23" i="16"/>
  <c r="AZ23" i="16"/>
  <c r="BJ21" i="16"/>
  <c r="BI21" i="16"/>
  <c r="BG21" i="16"/>
  <c r="BF21" i="16"/>
  <c r="BA21" i="16"/>
  <c r="AZ21" i="16"/>
  <c r="BJ20" i="16"/>
  <c r="BI20" i="16"/>
  <c r="BG20" i="16"/>
  <c r="BF20" i="16"/>
  <c r="BA20" i="16"/>
  <c r="AZ20" i="16"/>
  <c r="BJ19" i="16"/>
  <c r="BI19" i="16"/>
  <c r="BG19" i="16"/>
  <c r="BF19" i="16"/>
  <c r="BA19" i="16"/>
  <c r="AZ19" i="16"/>
  <c r="BJ14" i="16"/>
  <c r="BI14" i="16"/>
  <c r="BG14" i="16"/>
  <c r="BF14" i="16"/>
  <c r="BA14" i="16"/>
  <c r="AZ14" i="16"/>
  <c r="BJ39" i="15"/>
  <c r="BI39" i="15"/>
  <c r="AO36" i="15"/>
  <c r="AN36" i="15"/>
  <c r="AK36" i="15"/>
  <c r="AJ36" i="15"/>
  <c r="AG36" i="15"/>
  <c r="AF36" i="15"/>
  <c r="AE36" i="15"/>
  <c r="AD36" i="15"/>
  <c r="AA36" i="15"/>
  <c r="Z36" i="15"/>
  <c r="W36" i="15"/>
  <c r="V36" i="15"/>
  <c r="BJ32" i="15"/>
  <c r="BI32" i="15"/>
  <c r="BG32" i="15"/>
  <c r="BF32" i="15"/>
  <c r="BA32" i="15"/>
  <c r="AZ32" i="15"/>
  <c r="BJ31" i="15"/>
  <c r="BI31" i="15"/>
  <c r="BG31" i="15"/>
  <c r="BF31" i="15"/>
  <c r="BA31" i="15"/>
  <c r="AZ31" i="15"/>
  <c r="BJ30" i="15"/>
  <c r="BI30" i="15"/>
  <c r="BG30" i="15"/>
  <c r="BF30" i="15"/>
  <c r="BA30" i="15"/>
  <c r="AZ30" i="15"/>
  <c r="BJ29" i="15"/>
  <c r="BI29" i="15"/>
  <c r="BG29" i="15"/>
  <c r="BF29" i="15"/>
  <c r="BA29" i="15"/>
  <c r="AZ29" i="15"/>
  <c r="BJ28" i="15"/>
  <c r="BI28" i="15"/>
  <c r="BG28" i="15"/>
  <c r="BF28" i="15"/>
  <c r="BA28" i="15"/>
  <c r="AZ28" i="15"/>
  <c r="BJ27" i="15"/>
  <c r="BI27" i="15"/>
  <c r="BG27" i="15"/>
  <c r="BF27" i="15"/>
  <c r="BA27" i="15"/>
  <c r="AZ27" i="15"/>
  <c r="BJ26" i="15"/>
  <c r="BI26" i="15"/>
  <c r="BG26" i="15"/>
  <c r="BF26" i="15"/>
  <c r="BA26" i="15"/>
  <c r="AZ26" i="15"/>
  <c r="BJ25" i="15"/>
  <c r="BI25" i="15"/>
  <c r="BG25" i="15"/>
  <c r="BF25" i="15"/>
  <c r="BA25" i="15"/>
  <c r="AZ25" i="15"/>
  <c r="BJ24" i="15"/>
  <c r="BI24" i="15"/>
  <c r="BG24" i="15"/>
  <c r="BF24" i="15"/>
  <c r="BA24" i="15"/>
  <c r="AZ24" i="15"/>
  <c r="BJ14" i="15"/>
  <c r="BI14" i="15"/>
  <c r="BG14" i="15"/>
  <c r="BF14" i="15"/>
  <c r="BA14" i="15"/>
  <c r="AZ14" i="15"/>
  <c r="BJ12" i="15"/>
  <c r="BI12" i="15"/>
  <c r="BG12" i="15"/>
  <c r="BF12" i="15"/>
  <c r="BA12" i="15"/>
  <c r="AZ12" i="15"/>
  <c r="BJ11" i="15"/>
  <c r="BI11" i="15"/>
  <c r="BG11" i="15"/>
  <c r="BF11" i="15"/>
  <c r="BA11" i="15"/>
  <c r="AZ11" i="15"/>
  <c r="AS27" i="4"/>
  <c r="AR27" i="4"/>
  <c r="AO27" i="4"/>
  <c r="AN27" i="4"/>
  <c r="AM27" i="4"/>
  <c r="AL27" i="4"/>
  <c r="AK27" i="4"/>
  <c r="AJ27" i="4"/>
  <c r="AI27" i="4"/>
  <c r="AH27" i="4"/>
  <c r="AE27" i="4"/>
  <c r="AD27" i="4"/>
  <c r="AC27" i="4"/>
  <c r="AB27" i="4"/>
  <c r="AA27" i="4"/>
  <c r="Z27" i="4"/>
  <c r="BL54" i="2"/>
  <c r="BL47" i="2"/>
  <c r="BI47" i="2"/>
  <c r="BC47" i="2"/>
  <c r="BL46" i="2"/>
  <c r="BI46" i="2"/>
  <c r="BC46" i="2"/>
  <c r="BL45" i="2"/>
  <c r="BI45" i="2"/>
  <c r="BC45" i="2"/>
  <c r="BL44" i="2"/>
  <c r="BI44" i="2"/>
  <c r="BC44" i="2"/>
  <c r="BL43" i="2"/>
  <c r="BI43" i="2"/>
  <c r="BC43" i="2"/>
  <c r="BL42" i="2"/>
  <c r="BI42" i="2"/>
  <c r="BC42" i="2"/>
  <c r="BL41" i="2"/>
  <c r="BI41" i="2"/>
  <c r="BC41" i="2"/>
  <c r="BL40" i="2"/>
  <c r="BI40" i="2"/>
  <c r="BC40" i="2"/>
  <c r="BL39" i="2"/>
  <c r="BI39" i="2"/>
  <c r="BC39" i="2"/>
  <c r="BL38" i="2"/>
  <c r="BI38" i="2"/>
  <c r="BC38" i="2"/>
  <c r="BL37" i="2"/>
  <c r="BI37" i="2"/>
  <c r="BC37" i="2"/>
  <c r="BL36" i="2"/>
  <c r="BI36" i="2"/>
  <c r="BC36" i="2"/>
  <c r="BL35" i="2"/>
  <c r="BI35" i="2"/>
  <c r="BC35" i="2"/>
  <c r="BL34" i="2"/>
  <c r="BI34" i="2"/>
  <c r="BC34" i="2"/>
  <c r="BL33" i="2"/>
  <c r="BI33" i="2"/>
  <c r="BC33" i="2"/>
  <c r="BL32" i="2"/>
  <c r="BI32" i="2"/>
  <c r="BC32" i="2"/>
  <c r="BL31" i="2"/>
  <c r="BI31" i="2"/>
  <c r="BC31" i="2"/>
  <c r="BL30" i="2"/>
  <c r="BI30" i="2"/>
  <c r="BC30" i="2"/>
  <c r="BL29" i="2"/>
  <c r="BI29" i="2"/>
  <c r="BC29" i="2"/>
  <c r="BL28" i="2"/>
  <c r="BI28" i="2"/>
  <c r="BC28" i="2"/>
  <c r="BL27" i="2"/>
  <c r="BI27" i="2"/>
  <c r="BC27" i="2"/>
  <c r="BL26" i="2"/>
  <c r="BI26" i="2"/>
  <c r="BC26" i="2"/>
  <c r="BL25" i="2"/>
  <c r="BI25" i="2"/>
  <c r="BC25" i="2"/>
  <c r="BL24" i="2"/>
  <c r="BI24" i="2"/>
  <c r="BC24" i="2"/>
  <c r="BL23" i="2"/>
  <c r="BI23" i="2"/>
  <c r="BC23" i="2"/>
  <c r="BL20" i="2"/>
  <c r="BI20" i="2"/>
  <c r="BC20" i="2"/>
  <c r="BL35" i="3"/>
  <c r="AR32" i="3"/>
  <c r="AQ32" i="3"/>
  <c r="AN32" i="3"/>
  <c r="AM32" i="3"/>
  <c r="AL32" i="3"/>
  <c r="AK32" i="3"/>
  <c r="AJ32" i="3"/>
  <c r="AI32" i="3"/>
  <c r="AH32" i="3"/>
  <c r="AG32" i="3"/>
  <c r="AD32" i="3"/>
  <c r="AC32" i="3"/>
  <c r="AB32" i="3"/>
  <c r="AA32" i="3"/>
  <c r="Z32" i="3"/>
  <c r="Y32" i="3"/>
  <c r="BL28" i="3"/>
  <c r="BI28" i="3"/>
  <c r="BC28" i="3"/>
  <c r="BL27" i="3"/>
  <c r="BI27" i="3"/>
  <c r="BC27" i="3"/>
  <c r="BL26" i="3"/>
  <c r="BI26" i="3"/>
  <c r="BC26" i="3"/>
  <c r="BL25" i="3"/>
  <c r="BI25" i="3"/>
  <c r="BC25" i="3"/>
  <c r="BL24" i="3"/>
  <c r="BI24" i="3"/>
  <c r="BC24" i="3"/>
  <c r="BL23" i="3"/>
  <c r="BI23" i="3"/>
  <c r="BC23" i="3"/>
  <c r="BL22" i="3"/>
  <c r="BI22" i="3"/>
  <c r="BC22" i="3"/>
  <c r="BL21" i="3"/>
  <c r="BI21" i="3"/>
  <c r="BC21" i="3"/>
  <c r="BL20" i="3"/>
  <c r="BI20" i="3"/>
  <c r="BC20" i="3"/>
  <c r="BL19" i="3"/>
  <c r="BI19" i="3"/>
  <c r="BC19" i="3"/>
  <c r="BL18" i="3"/>
  <c r="BI18" i="3"/>
  <c r="BC18" i="3"/>
  <c r="BL17" i="3"/>
  <c r="BI17" i="3"/>
  <c r="BC17" i="3"/>
  <c r="BL16" i="3"/>
  <c r="BI16" i="3"/>
  <c r="BC16" i="3"/>
  <c r="BL14" i="3"/>
  <c r="BI14" i="3"/>
  <c r="BC14" i="3"/>
  <c r="BL13" i="3"/>
  <c r="BI13" i="3"/>
  <c r="BC13" i="3"/>
  <c r="BL12" i="3"/>
  <c r="BI12" i="3"/>
  <c r="BC12" i="3"/>
  <c r="BL11" i="3"/>
  <c r="BI11" i="3"/>
  <c r="BC11" i="3"/>
  <c r="BL10" i="3"/>
  <c r="BI10" i="3"/>
  <c r="BC10" i="3"/>
  <c r="BL9" i="3"/>
  <c r="BI9" i="3"/>
  <c r="BC9" i="3"/>
  <c r="BL8" i="3"/>
  <c r="BI8" i="3"/>
  <c r="BC8" i="3"/>
  <c r="BL7" i="3"/>
  <c r="BI7" i="3"/>
  <c r="BC7" i="3"/>
  <c r="BL6" i="3"/>
  <c r="BI6" i="3"/>
  <c r="BC6" i="3"/>
  <c r="BL5" i="3"/>
  <c r="BI5" i="3"/>
  <c r="BC5" i="3"/>
  <c r="BL36" i="14"/>
  <c r="AR33" i="14"/>
  <c r="AQ33" i="14"/>
  <c r="AN33" i="14"/>
  <c r="AM33" i="14"/>
  <c r="AL33" i="14"/>
  <c r="AK33" i="14"/>
  <c r="AJ33" i="14"/>
  <c r="AI33" i="14"/>
  <c r="AH33" i="14"/>
  <c r="AG33" i="14"/>
  <c r="AD33" i="14"/>
  <c r="AC33" i="14"/>
  <c r="AB33" i="14"/>
  <c r="AA33" i="14"/>
  <c r="Z33" i="14"/>
  <c r="Y33" i="14"/>
  <c r="BL29" i="14"/>
  <c r="BI29" i="14"/>
  <c r="BC29" i="14"/>
  <c r="BL28" i="14"/>
  <c r="BI28" i="14"/>
  <c r="BC28" i="14"/>
  <c r="BL27" i="14"/>
  <c r="BI27" i="14"/>
  <c r="BC27" i="14"/>
  <c r="BL26" i="14"/>
  <c r="BI26" i="14"/>
  <c r="BC26" i="14"/>
  <c r="BL25" i="14"/>
  <c r="BI25" i="14"/>
  <c r="BC25" i="14"/>
  <c r="BL24" i="14"/>
  <c r="BI24" i="14"/>
  <c r="BC24" i="14"/>
  <c r="BL23" i="14"/>
  <c r="BI23" i="14"/>
  <c r="BC23" i="14"/>
  <c r="BL22" i="14"/>
  <c r="BI22" i="14"/>
  <c r="BC22" i="14"/>
  <c r="BL21" i="14"/>
  <c r="BI21" i="14"/>
  <c r="BC21" i="14"/>
  <c r="BL20" i="14"/>
  <c r="BI20" i="14"/>
  <c r="BC20" i="14"/>
  <c r="BL19" i="14"/>
  <c r="BI19" i="14"/>
  <c r="BC19" i="14"/>
  <c r="BL18" i="14"/>
  <c r="BI18" i="14"/>
  <c r="BC18" i="14"/>
  <c r="BL17" i="14"/>
  <c r="BI17" i="14"/>
  <c r="BC17" i="14"/>
  <c r="BL16" i="14"/>
  <c r="BI16" i="14"/>
  <c r="BC16" i="14"/>
  <c r="BL15" i="14"/>
  <c r="BI15" i="14"/>
  <c r="BC15" i="14"/>
  <c r="BL14" i="14"/>
  <c r="BI14" i="14"/>
  <c r="BC14" i="14"/>
  <c r="BL13" i="14"/>
  <c r="BI13" i="14"/>
  <c r="BC13" i="14"/>
  <c r="BL12" i="14"/>
  <c r="BI12" i="14"/>
  <c r="BC12" i="14"/>
  <c r="BL11" i="14"/>
  <c r="BI11" i="14"/>
  <c r="BC11" i="14"/>
  <c r="BL10" i="14"/>
  <c r="BI10" i="14"/>
  <c r="BC10" i="14"/>
  <c r="BL9" i="14"/>
  <c r="BI9" i="14"/>
  <c r="BC9" i="14"/>
  <c r="BL8" i="14"/>
  <c r="BI8" i="14"/>
  <c r="BC8" i="14"/>
  <c r="BL7" i="14"/>
  <c r="BI7" i="14"/>
  <c r="BC7" i="14"/>
  <c r="BL6" i="14"/>
  <c r="BI6" i="14"/>
  <c r="BC6" i="14"/>
  <c r="BL5" i="14"/>
  <c r="BI5" i="14"/>
  <c r="BC5" i="14"/>
  <c r="X35" i="12"/>
  <c r="AM34" i="12"/>
  <c r="AL34" i="12"/>
  <c r="Y34" i="12"/>
  <c r="X34" i="12"/>
  <c r="W34" i="12"/>
  <c r="V34" i="12"/>
  <c r="U34" i="12"/>
  <c r="T34" i="12"/>
  <c r="X33" i="12"/>
  <c r="X32" i="12"/>
  <c r="X34" i="11"/>
  <c r="AL33" i="11"/>
  <c r="AK33" i="11"/>
  <c r="X33" i="11"/>
  <c r="W33" i="11"/>
  <c r="V33" i="11"/>
  <c r="U33" i="11"/>
  <c r="T33" i="11"/>
  <c r="S33" i="11"/>
  <c r="X32" i="11"/>
  <c r="X31" i="11"/>
  <c r="X28" i="22"/>
  <c r="AM27" i="22"/>
  <c r="AL27" i="22"/>
  <c r="AI27" i="22"/>
  <c r="AH27" i="22"/>
  <c r="AG27" i="22"/>
  <c r="AF27" i="22"/>
  <c r="AE27" i="22"/>
  <c r="AD27" i="22"/>
  <c r="AC27" i="22"/>
  <c r="AB27" i="22"/>
  <c r="Y27" i="22"/>
  <c r="X27" i="22"/>
  <c r="W27" i="22"/>
  <c r="V27" i="22"/>
  <c r="U27" i="22"/>
  <c r="T27" i="22"/>
  <c r="X26" i="22"/>
  <c r="X25" i="22"/>
  <c r="AM44" i="1"/>
  <c r="AL44" i="1"/>
  <c r="AC44" i="1"/>
  <c r="AB44" i="1"/>
  <c r="X41" i="8"/>
  <c r="AL40" i="8"/>
  <c r="AK40" i="8"/>
  <c r="AH40" i="8"/>
  <c r="AG40" i="8"/>
  <c r="AF40" i="8"/>
  <c r="AE40" i="8"/>
  <c r="AD40" i="8"/>
  <c r="AC40" i="8"/>
  <c r="AB40" i="8"/>
  <c r="AA40" i="8"/>
  <c r="X40" i="8"/>
  <c r="W40" i="8"/>
  <c r="V40" i="8"/>
  <c r="U40" i="8"/>
  <c r="T40" i="8"/>
  <c r="S40" i="8"/>
  <c r="X39" i="8"/>
  <c r="X38" i="8"/>
  <c r="AL54" i="9"/>
  <c r="AK54" i="9"/>
  <c r="AB54" i="9"/>
  <c r="AA54" i="9"/>
  <c r="BL49" i="2" l="1"/>
  <c r="BC49" i="2"/>
  <c r="BI49" i="2"/>
  <c r="X42" i="8"/>
  <c r="X29" i="22"/>
  <c r="X36" i="12"/>
  <c r="X61" i="18"/>
  <c r="X34" i="17"/>
  <c r="X35" i="11"/>
  <c r="AW6" i="8" l="1"/>
  <c r="AX6" i="8"/>
  <c r="AY6" i="8"/>
  <c r="BC6" i="8"/>
  <c r="BD6" i="8"/>
  <c r="BE6" i="8"/>
  <c r="AY5" i="22" l="1"/>
  <c r="AZ5" i="22"/>
  <c r="BE5" i="22"/>
  <c r="BF5" i="22"/>
  <c r="BH5" i="22"/>
  <c r="BI5" i="22"/>
  <c r="AY7" i="22"/>
  <c r="AZ7" i="22"/>
  <c r="BE7" i="22"/>
  <c r="BF7" i="22"/>
  <c r="BH7" i="22"/>
  <c r="BI7" i="22"/>
  <c r="AY9" i="22"/>
  <c r="AZ9" i="22"/>
  <c r="BE9" i="22"/>
  <c r="BF9" i="22"/>
  <c r="BH9" i="22"/>
  <c r="BI9" i="22"/>
  <c r="AY11" i="22"/>
  <c r="AZ11" i="22"/>
  <c r="BE11" i="22"/>
  <c r="BF11" i="22"/>
  <c r="BH11" i="22"/>
  <c r="BI11" i="22"/>
  <c r="AY14" i="22"/>
  <c r="AZ14" i="22"/>
  <c r="BE14" i="22"/>
  <c r="BF14" i="22"/>
  <c r="BH14" i="22"/>
  <c r="BI14" i="22"/>
  <c r="AY16" i="22"/>
  <c r="AZ16" i="22"/>
  <c r="BE16" i="22"/>
  <c r="BF16" i="22"/>
  <c r="BH16" i="22"/>
  <c r="BI16" i="22"/>
  <c r="AY18" i="22"/>
  <c r="AZ18" i="22"/>
  <c r="BE18" i="22"/>
  <c r="BF18" i="22"/>
  <c r="BH18" i="22"/>
  <c r="BI18" i="22"/>
  <c r="AY19" i="22"/>
  <c r="AZ19" i="22"/>
  <c r="BE19" i="22"/>
  <c r="BF19" i="22"/>
  <c r="BH19" i="22"/>
  <c r="BI19" i="22"/>
  <c r="AY20" i="22"/>
  <c r="AZ20" i="22"/>
  <c r="BE20" i="22"/>
  <c r="BF20" i="22"/>
  <c r="BH20" i="22"/>
  <c r="BI20" i="22"/>
  <c r="AY21" i="22"/>
  <c r="AZ21" i="22"/>
  <c r="BE21" i="22"/>
  <c r="BF21" i="22"/>
  <c r="BH21" i="22"/>
  <c r="BI21" i="22"/>
  <c r="AY22" i="22"/>
  <c r="AZ22" i="22"/>
  <c r="BE22" i="22"/>
  <c r="BF22" i="22"/>
  <c r="BH22" i="22"/>
  <c r="BI22" i="22"/>
  <c r="AY23" i="22"/>
  <c r="AZ23" i="22"/>
  <c r="BA23" i="22"/>
  <c r="BA25" i="22" s="1"/>
  <c r="AT27" i="22" s="1"/>
  <c r="BE23" i="22"/>
  <c r="BF23" i="22"/>
  <c r="BG23" i="22"/>
  <c r="BG25" i="22" s="1"/>
  <c r="AT29" i="22" s="1"/>
  <c r="BH23" i="22"/>
  <c r="BI23" i="22"/>
  <c r="BJ23" i="22"/>
  <c r="BJ25" i="22" s="1"/>
  <c r="AT30" i="22" s="1"/>
  <c r="BJ30" i="22"/>
  <c r="BI30" i="22"/>
  <c r="BH30" i="22"/>
  <c r="AM28" i="22"/>
  <c r="AL28" i="22"/>
  <c r="AI28" i="22"/>
  <c r="AH28" i="22"/>
  <c r="AG28" i="22"/>
  <c r="AF28" i="22"/>
  <c r="AE28" i="22"/>
  <c r="AD28" i="22"/>
  <c r="AC28" i="22"/>
  <c r="AB28" i="22"/>
  <c r="Y28" i="22"/>
  <c r="W28" i="22"/>
  <c r="V28" i="22"/>
  <c r="U28" i="22"/>
  <c r="T28" i="22"/>
  <c r="AT26" i="22"/>
  <c r="AM26" i="22"/>
  <c r="AL26" i="22"/>
  <c r="AI26" i="22"/>
  <c r="AH26" i="22"/>
  <c r="AG26" i="22"/>
  <c r="AF26" i="22"/>
  <c r="AE26" i="22"/>
  <c r="AD26" i="22"/>
  <c r="AC26" i="22"/>
  <c r="AB26" i="22"/>
  <c r="Y26" i="22"/>
  <c r="W26" i="22"/>
  <c r="V26" i="22"/>
  <c r="U26" i="22"/>
  <c r="T26" i="22"/>
  <c r="BD25" i="22"/>
  <c r="AT28" i="22" s="1"/>
  <c r="BC25" i="22"/>
  <c r="AS28" i="22" s="1"/>
  <c r="BB25" i="22"/>
  <c r="AR28" i="22" s="1"/>
  <c r="AM25" i="22"/>
  <c r="AL25" i="22"/>
  <c r="AI25" i="22"/>
  <c r="AH25" i="22"/>
  <c r="AG25" i="22"/>
  <c r="AF25" i="22"/>
  <c r="AE25" i="22"/>
  <c r="AD25" i="22"/>
  <c r="AC25" i="22"/>
  <c r="AB25" i="22"/>
  <c r="Y25" i="22"/>
  <c r="W25" i="22"/>
  <c r="V25" i="22"/>
  <c r="U25" i="22"/>
  <c r="T25" i="22"/>
  <c r="AC29" i="22" l="1"/>
  <c r="AM29" i="22"/>
  <c r="AG29" i="22"/>
  <c r="W29" i="22"/>
  <c r="BF25" i="22"/>
  <c r="AS29" i="22" s="1"/>
  <c r="AY25" i="22"/>
  <c r="AR27" i="22" s="1"/>
  <c r="AZ25" i="22"/>
  <c r="AS27" i="22" s="1"/>
  <c r="BI25" i="22"/>
  <c r="AS30" i="22" s="1"/>
  <c r="U29" i="22"/>
  <c r="Y29" i="22"/>
  <c r="AE29" i="22"/>
  <c r="AI29" i="22"/>
  <c r="BE25" i="22"/>
  <c r="AR29" i="22" s="1"/>
  <c r="BH25" i="22"/>
  <c r="AR30" i="22" s="1"/>
  <c r="V29" i="22"/>
  <c r="AB29" i="22"/>
  <c r="AF29" i="22"/>
  <c r="AL29" i="22"/>
  <c r="T29" i="22"/>
  <c r="AD29" i="22"/>
  <c r="AH29" i="22"/>
  <c r="BH62" i="18" l="1"/>
  <c r="BG62" i="18"/>
  <c r="BF62" i="18"/>
  <c r="AL60" i="18"/>
  <c r="AK60" i="18"/>
  <c r="AH60" i="18"/>
  <c r="AG60" i="18"/>
  <c r="AF60" i="18"/>
  <c r="AE60" i="18"/>
  <c r="AD60" i="18"/>
  <c r="AC60" i="18"/>
  <c r="AB60" i="18"/>
  <c r="AA60" i="18"/>
  <c r="W60" i="18"/>
  <c r="V60" i="18"/>
  <c r="U60" i="18"/>
  <c r="T60" i="18"/>
  <c r="S60" i="18"/>
  <c r="AS58" i="18"/>
  <c r="AR58" i="18"/>
  <c r="AL58" i="18"/>
  <c r="AK58" i="18"/>
  <c r="AH58" i="18"/>
  <c r="AG58" i="18"/>
  <c r="AF58" i="18"/>
  <c r="AE58" i="18"/>
  <c r="AD58" i="18"/>
  <c r="AC58" i="18"/>
  <c r="AB58" i="18"/>
  <c r="AA58" i="18"/>
  <c r="W58" i="18"/>
  <c r="V58" i="18"/>
  <c r="U58" i="18"/>
  <c r="T58" i="18"/>
  <c r="S58" i="18"/>
  <c r="BB57" i="18"/>
  <c r="AS60" i="18" s="1"/>
  <c r="BA57" i="18"/>
  <c r="AR60" i="18" s="1"/>
  <c r="AZ57" i="18"/>
  <c r="AQ60" i="18" s="1"/>
  <c r="AL57" i="18"/>
  <c r="AK57" i="18"/>
  <c r="AH57" i="18"/>
  <c r="AG57" i="18"/>
  <c r="AF57" i="18"/>
  <c r="AE57" i="18"/>
  <c r="AD57" i="18"/>
  <c r="AC57" i="18"/>
  <c r="AB57" i="18"/>
  <c r="AA57" i="18"/>
  <c r="W57" i="18"/>
  <c r="V57" i="18"/>
  <c r="U57" i="18"/>
  <c r="T57" i="18"/>
  <c r="S57" i="18"/>
  <c r="BH35" i="17"/>
  <c r="BG35" i="17"/>
  <c r="BF35" i="17"/>
  <c r="AL33" i="17"/>
  <c r="AK33" i="17"/>
  <c r="AH33" i="17"/>
  <c r="AG33" i="17"/>
  <c r="AF33" i="17"/>
  <c r="AE33" i="17"/>
  <c r="AD33" i="17"/>
  <c r="AC33" i="17"/>
  <c r="W33" i="17"/>
  <c r="V33" i="17"/>
  <c r="U33" i="17"/>
  <c r="T33" i="17"/>
  <c r="S33" i="17"/>
  <c r="AS31" i="17"/>
  <c r="AR31" i="17"/>
  <c r="AL31" i="17"/>
  <c r="AK31" i="17"/>
  <c r="AH31" i="17"/>
  <c r="AG31" i="17"/>
  <c r="AF31" i="17"/>
  <c r="AE31" i="17"/>
  <c r="AD31" i="17"/>
  <c r="AC31" i="17"/>
  <c r="W31" i="17"/>
  <c r="V31" i="17"/>
  <c r="U31" i="17"/>
  <c r="T31" i="17"/>
  <c r="S31" i="17"/>
  <c r="BB30" i="17"/>
  <c r="AS33" i="17" s="1"/>
  <c r="BA30" i="17"/>
  <c r="AR33" i="17" s="1"/>
  <c r="AZ30" i="17"/>
  <c r="AQ33" i="17" s="1"/>
  <c r="AL30" i="17"/>
  <c r="AK30" i="17"/>
  <c r="AH30" i="17"/>
  <c r="AG30" i="17"/>
  <c r="AF30" i="17"/>
  <c r="AE30" i="17"/>
  <c r="AD30" i="17"/>
  <c r="AC30" i="17"/>
  <c r="W30" i="17"/>
  <c r="V30" i="17"/>
  <c r="U30" i="17"/>
  <c r="T30" i="17"/>
  <c r="S30" i="17"/>
  <c r="BH28" i="17"/>
  <c r="BH30" i="17" s="1"/>
  <c r="AS35" i="17" s="1"/>
  <c r="BG28" i="17"/>
  <c r="BF28" i="17"/>
  <c r="BE28" i="17"/>
  <c r="BD28" i="17"/>
  <c r="BC28" i="17"/>
  <c r="AY28" i="17"/>
  <c r="AX28" i="17"/>
  <c r="AW28" i="17"/>
  <c r="BG27" i="17"/>
  <c r="BF27" i="17"/>
  <c r="BD27" i="17"/>
  <c r="BC27" i="17"/>
  <c r="AX27" i="17"/>
  <c r="AW27" i="17"/>
  <c r="BK30" i="16"/>
  <c r="AO28" i="16"/>
  <c r="AN28" i="16"/>
  <c r="AK28" i="16"/>
  <c r="AJ28" i="16"/>
  <c r="AG28" i="16"/>
  <c r="AF28" i="16"/>
  <c r="AE28" i="16"/>
  <c r="AD28" i="16"/>
  <c r="AA28" i="16"/>
  <c r="Z28" i="16"/>
  <c r="W28" i="16"/>
  <c r="V28" i="16"/>
  <c r="AV26" i="16"/>
  <c r="AU26" i="16"/>
  <c r="AO26" i="16"/>
  <c r="AN26" i="16"/>
  <c r="AK26" i="16"/>
  <c r="AJ26" i="16"/>
  <c r="AG26" i="16"/>
  <c r="AF26" i="16"/>
  <c r="AE26" i="16"/>
  <c r="AD26" i="16"/>
  <c r="AA26" i="16"/>
  <c r="Z26" i="16"/>
  <c r="W26" i="16"/>
  <c r="V26" i="16"/>
  <c r="BE25" i="16"/>
  <c r="AV28" i="16" s="1"/>
  <c r="BD25" i="16"/>
  <c r="AU28" i="16" s="1"/>
  <c r="BC25" i="16"/>
  <c r="AT28" i="16" s="1"/>
  <c r="AO25" i="16"/>
  <c r="AN25" i="16"/>
  <c r="AK25" i="16"/>
  <c r="AJ25" i="16"/>
  <c r="AG25" i="16"/>
  <c r="AF25" i="16"/>
  <c r="AE25" i="16"/>
  <c r="AD25" i="16"/>
  <c r="AA25" i="16"/>
  <c r="Z25" i="16"/>
  <c r="W25" i="16"/>
  <c r="V25" i="16"/>
  <c r="BK23" i="16"/>
  <c r="BH23" i="16"/>
  <c r="BB23" i="16"/>
  <c r="BK21" i="16"/>
  <c r="BH21" i="16"/>
  <c r="BB21" i="16"/>
  <c r="BK20" i="16"/>
  <c r="BH20" i="16"/>
  <c r="BB20" i="16"/>
  <c r="BK19" i="16"/>
  <c r="BH19" i="16"/>
  <c r="BB19" i="16"/>
  <c r="BK14" i="16"/>
  <c r="BH14" i="16"/>
  <c r="BB14" i="16"/>
  <c r="BK39" i="15"/>
  <c r="AO37" i="15"/>
  <c r="AN37" i="15"/>
  <c r="AK37" i="15"/>
  <c r="AJ37" i="15"/>
  <c r="AG37" i="15"/>
  <c r="AF37" i="15"/>
  <c r="AE37" i="15"/>
  <c r="AD37" i="15"/>
  <c r="AA37" i="15"/>
  <c r="Z37" i="15"/>
  <c r="W37" i="15"/>
  <c r="V37" i="15"/>
  <c r="AV35" i="15"/>
  <c r="AU35" i="15"/>
  <c r="AO35" i="15"/>
  <c r="AN35" i="15"/>
  <c r="AK35" i="15"/>
  <c r="AJ35" i="15"/>
  <c r="AG35" i="15"/>
  <c r="AF35" i="15"/>
  <c r="AE35" i="15"/>
  <c r="AD35" i="15"/>
  <c r="AA35" i="15"/>
  <c r="Z35" i="15"/>
  <c r="W35" i="15"/>
  <c r="V35" i="15"/>
  <c r="BE34" i="15"/>
  <c r="AV37" i="15" s="1"/>
  <c r="BD34" i="15"/>
  <c r="AU37" i="15" s="1"/>
  <c r="BC34" i="15"/>
  <c r="AT37" i="15" s="1"/>
  <c r="AO34" i="15"/>
  <c r="AN34" i="15"/>
  <c r="AK34" i="15"/>
  <c r="AJ34" i="15"/>
  <c r="AG34" i="15"/>
  <c r="AF34" i="15"/>
  <c r="AE34" i="15"/>
  <c r="AD34" i="15"/>
  <c r="AA34" i="15"/>
  <c r="Z34" i="15"/>
  <c r="W34" i="15"/>
  <c r="V34" i="15"/>
  <c r="BK32" i="15"/>
  <c r="BH32" i="15"/>
  <c r="BB32" i="15"/>
  <c r="BK31" i="15"/>
  <c r="BH31" i="15"/>
  <c r="BB31" i="15"/>
  <c r="BK30" i="15"/>
  <c r="BH30" i="15"/>
  <c r="BB30" i="15"/>
  <c r="BK29" i="15"/>
  <c r="BH29" i="15"/>
  <c r="BB29" i="15"/>
  <c r="BK28" i="15"/>
  <c r="BH28" i="15"/>
  <c r="BB28" i="15"/>
  <c r="BK27" i="15"/>
  <c r="BH27" i="15"/>
  <c r="BB27" i="15"/>
  <c r="BK26" i="15"/>
  <c r="BH26" i="15"/>
  <c r="BB26" i="15"/>
  <c r="BK25" i="15"/>
  <c r="BH25" i="15"/>
  <c r="BB25" i="15"/>
  <c r="BK24" i="15"/>
  <c r="BH24" i="15"/>
  <c r="BB24" i="15"/>
  <c r="BK14" i="15"/>
  <c r="BH14" i="15"/>
  <c r="BB14" i="15"/>
  <c r="BK12" i="15"/>
  <c r="BH12" i="15"/>
  <c r="BB12" i="15"/>
  <c r="BK11" i="15"/>
  <c r="BH11" i="15"/>
  <c r="BB11" i="15"/>
  <c r="BN36" i="14"/>
  <c r="BM36" i="14"/>
  <c r="AR34" i="14"/>
  <c r="AQ34" i="14"/>
  <c r="AN34" i="14"/>
  <c r="AM34" i="14"/>
  <c r="AL34" i="14"/>
  <c r="AK34" i="14"/>
  <c r="AJ34" i="14"/>
  <c r="AI34" i="14"/>
  <c r="AH34" i="14"/>
  <c r="AG34" i="14"/>
  <c r="AD34" i="14"/>
  <c r="AC34" i="14"/>
  <c r="AB34" i="14"/>
  <c r="AA34" i="14"/>
  <c r="Z34" i="14"/>
  <c r="Y34" i="14"/>
  <c r="AY32" i="14"/>
  <c r="AX32" i="14"/>
  <c r="AR32" i="14"/>
  <c r="AQ32" i="14"/>
  <c r="AN32" i="14"/>
  <c r="AM32" i="14"/>
  <c r="AL32" i="14"/>
  <c r="AK32" i="14"/>
  <c r="AJ32" i="14"/>
  <c r="AI32" i="14"/>
  <c r="AH32" i="14"/>
  <c r="AG32" i="14"/>
  <c r="AD32" i="14"/>
  <c r="AC32" i="14"/>
  <c r="AB32" i="14"/>
  <c r="AA32" i="14"/>
  <c r="Z32" i="14"/>
  <c r="Y32" i="14"/>
  <c r="BH31" i="14"/>
  <c r="AY34" i="14" s="1"/>
  <c r="BG31" i="14"/>
  <c r="AX34" i="14" s="1"/>
  <c r="BF31" i="14"/>
  <c r="AW34" i="14" s="1"/>
  <c r="AR31" i="14"/>
  <c r="AQ31" i="14"/>
  <c r="AN31" i="14"/>
  <c r="AM31" i="14"/>
  <c r="AL31" i="14"/>
  <c r="AK31" i="14"/>
  <c r="AJ31" i="14"/>
  <c r="AI31" i="14"/>
  <c r="AH31" i="14"/>
  <c r="AG31" i="14"/>
  <c r="AD31" i="14"/>
  <c r="AC31" i="14"/>
  <c r="AB31" i="14"/>
  <c r="AA31" i="14"/>
  <c r="Z31" i="14"/>
  <c r="Y31" i="14"/>
  <c r="BN29" i="14"/>
  <c r="BM29" i="14"/>
  <c r="BK29" i="14"/>
  <c r="BJ29" i="14"/>
  <c r="BE29" i="14"/>
  <c r="BD29" i="14"/>
  <c r="BN28" i="14"/>
  <c r="BM28" i="14"/>
  <c r="BK28" i="14"/>
  <c r="BJ28" i="14"/>
  <c r="BE28" i="14"/>
  <c r="BD28" i="14"/>
  <c r="BN27" i="14"/>
  <c r="BM27" i="14"/>
  <c r="BK27" i="14"/>
  <c r="BJ27" i="14"/>
  <c r="BE27" i="14"/>
  <c r="BD27" i="14"/>
  <c r="BN26" i="14"/>
  <c r="BM26" i="14"/>
  <c r="BK26" i="14"/>
  <c r="BJ26" i="14"/>
  <c r="BE26" i="14"/>
  <c r="BD26" i="14"/>
  <c r="BN25" i="14"/>
  <c r="BM25" i="14"/>
  <c r="BK25" i="14"/>
  <c r="BJ25" i="14"/>
  <c r="BE25" i="14"/>
  <c r="BD25" i="14"/>
  <c r="BN24" i="14"/>
  <c r="BM24" i="14"/>
  <c r="BK24" i="14"/>
  <c r="BJ24" i="14"/>
  <c r="BE24" i="14"/>
  <c r="BD24" i="14"/>
  <c r="BN23" i="14"/>
  <c r="BM23" i="14"/>
  <c r="BK23" i="14"/>
  <c r="BJ23" i="14"/>
  <c r="BE23" i="14"/>
  <c r="BD23" i="14"/>
  <c r="BN22" i="14"/>
  <c r="BM22" i="14"/>
  <c r="BK22" i="14"/>
  <c r="BJ22" i="14"/>
  <c r="BE22" i="14"/>
  <c r="BD22" i="14"/>
  <c r="BN21" i="14"/>
  <c r="BM21" i="14"/>
  <c r="BK21" i="14"/>
  <c r="BJ21" i="14"/>
  <c r="BE21" i="14"/>
  <c r="BD21" i="14"/>
  <c r="BN20" i="14"/>
  <c r="BM20" i="14"/>
  <c r="BK20" i="14"/>
  <c r="BJ20" i="14"/>
  <c r="BE20" i="14"/>
  <c r="BD20" i="14"/>
  <c r="BN19" i="14"/>
  <c r="BM19" i="14"/>
  <c r="BK19" i="14"/>
  <c r="BJ19" i="14"/>
  <c r="BE19" i="14"/>
  <c r="BD19" i="14"/>
  <c r="BN18" i="14"/>
  <c r="BM18" i="14"/>
  <c r="BK18" i="14"/>
  <c r="BJ18" i="14"/>
  <c r="BE18" i="14"/>
  <c r="BD18" i="14"/>
  <c r="BN17" i="14"/>
  <c r="BM17" i="14"/>
  <c r="BK17" i="14"/>
  <c r="BJ17" i="14"/>
  <c r="BE17" i="14"/>
  <c r="BD17" i="14"/>
  <c r="BN16" i="14"/>
  <c r="BM16" i="14"/>
  <c r="BK16" i="14"/>
  <c r="BJ16" i="14"/>
  <c r="BE16" i="14"/>
  <c r="BD16" i="14"/>
  <c r="BN15" i="14"/>
  <c r="BM15" i="14"/>
  <c r="BK15" i="14"/>
  <c r="BJ15" i="14"/>
  <c r="BE15" i="14"/>
  <c r="BD15" i="14"/>
  <c r="BN14" i="14"/>
  <c r="BM14" i="14"/>
  <c r="BK14" i="14"/>
  <c r="BJ14" i="14"/>
  <c r="BE14" i="14"/>
  <c r="BD14" i="14"/>
  <c r="BN13" i="14"/>
  <c r="BM13" i="14"/>
  <c r="BK13" i="14"/>
  <c r="BJ13" i="14"/>
  <c r="BE13" i="14"/>
  <c r="BD13" i="14"/>
  <c r="BN12" i="14"/>
  <c r="BM12" i="14"/>
  <c r="BK12" i="14"/>
  <c r="BJ12" i="14"/>
  <c r="BE12" i="14"/>
  <c r="BD12" i="14"/>
  <c r="BN11" i="14"/>
  <c r="BM11" i="14"/>
  <c r="BK11" i="14"/>
  <c r="BJ11" i="14"/>
  <c r="BE11" i="14"/>
  <c r="BD11" i="14"/>
  <c r="BN10" i="14"/>
  <c r="BM10" i="14"/>
  <c r="BK10" i="14"/>
  <c r="BJ10" i="14"/>
  <c r="BE10" i="14"/>
  <c r="BD10" i="14"/>
  <c r="BN9" i="14"/>
  <c r="BM9" i="14"/>
  <c r="BK9" i="14"/>
  <c r="BJ9" i="14"/>
  <c r="BE9" i="14"/>
  <c r="BD9" i="14"/>
  <c r="BN8" i="14"/>
  <c r="BM8" i="14"/>
  <c r="BK8" i="14"/>
  <c r="BJ8" i="14"/>
  <c r="BE8" i="14"/>
  <c r="BD8" i="14"/>
  <c r="BN7" i="14"/>
  <c r="BM7" i="14"/>
  <c r="BK7" i="14"/>
  <c r="BJ7" i="14"/>
  <c r="BE7" i="14"/>
  <c r="BD7" i="14"/>
  <c r="BN6" i="14"/>
  <c r="BM6" i="14"/>
  <c r="BK6" i="14"/>
  <c r="BJ6" i="14"/>
  <c r="BE6" i="14"/>
  <c r="BD6" i="14"/>
  <c r="BN5" i="14"/>
  <c r="BM5" i="14"/>
  <c r="BK5" i="14"/>
  <c r="BJ5" i="14"/>
  <c r="BE5" i="14"/>
  <c r="BD5" i="14"/>
  <c r="BJ37" i="12"/>
  <c r="BI37" i="12"/>
  <c r="BH37" i="12"/>
  <c r="AM35" i="12"/>
  <c r="AL35" i="12"/>
  <c r="Y35" i="12"/>
  <c r="W35" i="12"/>
  <c r="V35" i="12"/>
  <c r="U35" i="12"/>
  <c r="T35" i="12"/>
  <c r="AT33" i="12"/>
  <c r="AS33" i="12"/>
  <c r="AM33" i="12"/>
  <c r="AL33" i="12"/>
  <c r="Y33" i="12"/>
  <c r="W33" i="12"/>
  <c r="V33" i="12"/>
  <c r="U33" i="12"/>
  <c r="T33" i="12"/>
  <c r="BD32" i="12"/>
  <c r="AT35" i="12" s="1"/>
  <c r="BC32" i="12"/>
  <c r="AS35" i="12" s="1"/>
  <c r="BB32" i="12"/>
  <c r="AR35" i="12" s="1"/>
  <c r="AM32" i="12"/>
  <c r="AL32" i="12"/>
  <c r="Y32" i="12"/>
  <c r="W32" i="12"/>
  <c r="V32" i="12"/>
  <c r="U32" i="12"/>
  <c r="T32" i="12"/>
  <c r="BJ30" i="12"/>
  <c r="BJ32" i="12" s="1"/>
  <c r="AT37" i="12" s="1"/>
  <c r="BI30" i="12"/>
  <c r="BH30" i="12"/>
  <c r="BG30" i="12"/>
  <c r="BF30" i="12"/>
  <c r="BE30" i="12"/>
  <c r="BA30" i="12"/>
  <c r="BA32" i="12" s="1"/>
  <c r="AT34" i="12" s="1"/>
  <c r="AZ30" i="12"/>
  <c r="AY30" i="12"/>
  <c r="BI29" i="12"/>
  <c r="BH29" i="12"/>
  <c r="BF29" i="12"/>
  <c r="BE29" i="12"/>
  <c r="AZ29" i="12"/>
  <c r="AY29" i="12"/>
  <c r="BI28" i="12"/>
  <c r="BH28" i="12"/>
  <c r="BF28" i="12"/>
  <c r="BE28" i="12"/>
  <c r="AZ28" i="12"/>
  <c r="AY28" i="12"/>
  <c r="BI27" i="12"/>
  <c r="BH27" i="12"/>
  <c r="BF27" i="12"/>
  <c r="BE27" i="12"/>
  <c r="AZ27" i="12"/>
  <c r="AY27" i="12"/>
  <c r="BI26" i="12"/>
  <c r="BH26" i="12"/>
  <c r="BF26" i="12"/>
  <c r="BE26" i="12"/>
  <c r="AZ26" i="12"/>
  <c r="AY26" i="12"/>
  <c r="BI25" i="12"/>
  <c r="BH25" i="12"/>
  <c r="BF25" i="12"/>
  <c r="BE25" i="12"/>
  <c r="AZ25" i="12"/>
  <c r="AY25" i="12"/>
  <c r="BI24" i="12"/>
  <c r="BH24" i="12"/>
  <c r="BF24" i="12"/>
  <c r="BE24" i="12"/>
  <c r="AZ24" i="12"/>
  <c r="AY24" i="12"/>
  <c r="BI23" i="12"/>
  <c r="BH23" i="12"/>
  <c r="BF23" i="12"/>
  <c r="BE23" i="12"/>
  <c r="AZ23" i="12"/>
  <c r="AY23" i="12"/>
  <c r="BI22" i="12"/>
  <c r="BH22" i="12"/>
  <c r="BF22" i="12"/>
  <c r="BE22" i="12"/>
  <c r="AZ22" i="12"/>
  <c r="AY22" i="12"/>
  <c r="BI21" i="12"/>
  <c r="BH21" i="12"/>
  <c r="BF21" i="12"/>
  <c r="BE21" i="12"/>
  <c r="AZ21" i="12"/>
  <c r="AY21" i="12"/>
  <c r="BI20" i="12"/>
  <c r="BH20" i="12"/>
  <c r="BF20" i="12"/>
  <c r="BE20" i="12"/>
  <c r="AZ20" i="12"/>
  <c r="AY20" i="12"/>
  <c r="BH36" i="11"/>
  <c r="BG36" i="11"/>
  <c r="BF36" i="11"/>
  <c r="AL34" i="11"/>
  <c r="AK34" i="11"/>
  <c r="W34" i="11"/>
  <c r="V34" i="11"/>
  <c r="U34" i="11"/>
  <c r="T34" i="11"/>
  <c r="S34" i="11"/>
  <c r="AS32" i="11"/>
  <c r="AL32" i="11"/>
  <c r="AK32" i="11"/>
  <c r="W32" i="11"/>
  <c r="V32" i="11"/>
  <c r="U32" i="11"/>
  <c r="T32" i="11"/>
  <c r="S32" i="11"/>
  <c r="AS34" i="11"/>
  <c r="AR34" i="11"/>
  <c r="AQ34" i="11"/>
  <c r="AL31" i="11"/>
  <c r="AK31" i="11"/>
  <c r="W31" i="11"/>
  <c r="V31" i="11"/>
  <c r="U31" i="11"/>
  <c r="T31" i="11"/>
  <c r="S31" i="11"/>
  <c r="BH29" i="11"/>
  <c r="BH31" i="11" s="1"/>
  <c r="BG29" i="11"/>
  <c r="BF29" i="11"/>
  <c r="BE29" i="11"/>
  <c r="BD29" i="11"/>
  <c r="BC29" i="11"/>
  <c r="AY29" i="11"/>
  <c r="AX29" i="11"/>
  <c r="AW29" i="11"/>
  <c r="BG28" i="11"/>
  <c r="BF28" i="11"/>
  <c r="BD28" i="11"/>
  <c r="BC28" i="11"/>
  <c r="AX28" i="11"/>
  <c r="AW28" i="11"/>
  <c r="BG27" i="11"/>
  <c r="BF27" i="11"/>
  <c r="BD27" i="11"/>
  <c r="BC27" i="11"/>
  <c r="AX27" i="11"/>
  <c r="AW27" i="11"/>
  <c r="BG26" i="11"/>
  <c r="BF26" i="11"/>
  <c r="BD26" i="11"/>
  <c r="BC26" i="11"/>
  <c r="AX26" i="11"/>
  <c r="AW26" i="11"/>
  <c r="BG25" i="11"/>
  <c r="BF25" i="11"/>
  <c r="BD25" i="11"/>
  <c r="BC25" i="11"/>
  <c r="AX25" i="11"/>
  <c r="AW25" i="11"/>
  <c r="BG24" i="11"/>
  <c r="BF24" i="11"/>
  <c r="BD24" i="11"/>
  <c r="BC24" i="11"/>
  <c r="AX24" i="11"/>
  <c r="AW24" i="11"/>
  <c r="BG23" i="11"/>
  <c r="BF23" i="11"/>
  <c r="BD23" i="11"/>
  <c r="BC23" i="11"/>
  <c r="AX23" i="11"/>
  <c r="AW23" i="11"/>
  <c r="BG22" i="11"/>
  <c r="BF22" i="11"/>
  <c r="BD22" i="11"/>
  <c r="BC22" i="11"/>
  <c r="AX22" i="11"/>
  <c r="AW22" i="11"/>
  <c r="BG21" i="11"/>
  <c r="BF21" i="11"/>
  <c r="BD21" i="11"/>
  <c r="BC21" i="11"/>
  <c r="AX21" i="11"/>
  <c r="AW21" i="11"/>
  <c r="BG20" i="11"/>
  <c r="BF20" i="11"/>
  <c r="BD20" i="11"/>
  <c r="BC20" i="11"/>
  <c r="AX20" i="11"/>
  <c r="AW20" i="11"/>
  <c r="BG19" i="11"/>
  <c r="BF19" i="11"/>
  <c r="BD19" i="11"/>
  <c r="BC19" i="11"/>
  <c r="AX19" i="11"/>
  <c r="AW19" i="11"/>
  <c r="BG17" i="11"/>
  <c r="BF17" i="11"/>
  <c r="BD17" i="11"/>
  <c r="BC17" i="11"/>
  <c r="AX17" i="11"/>
  <c r="AW17" i="11"/>
  <c r="BG16" i="11"/>
  <c r="BF16" i="11"/>
  <c r="BD16" i="11"/>
  <c r="BC16" i="11"/>
  <c r="AX16" i="11"/>
  <c r="AW16" i="11"/>
  <c r="BG15" i="11"/>
  <c r="BF15" i="11"/>
  <c r="BD15" i="11"/>
  <c r="BC15" i="11"/>
  <c r="AX15" i="11"/>
  <c r="AW15" i="11"/>
  <c r="BH57" i="9"/>
  <c r="BG57" i="9"/>
  <c r="BF57" i="9"/>
  <c r="AL55" i="9"/>
  <c r="AK55" i="9"/>
  <c r="AB55" i="9"/>
  <c r="AA55" i="9"/>
  <c r="AS53" i="9"/>
  <c r="AL53" i="9"/>
  <c r="AK53" i="9"/>
  <c r="AB53" i="9"/>
  <c r="AA53" i="9"/>
  <c r="AS55" i="9"/>
  <c r="AR55" i="9"/>
  <c r="AQ55" i="9"/>
  <c r="AL52" i="9"/>
  <c r="AK52" i="9"/>
  <c r="AB52" i="9"/>
  <c r="AA52" i="9"/>
  <c r="AS57" i="9"/>
  <c r="BH43" i="8"/>
  <c r="BG43" i="8"/>
  <c r="BF43" i="8"/>
  <c r="AL41" i="8"/>
  <c r="AK41" i="8"/>
  <c r="AH41" i="8"/>
  <c r="AG41" i="8"/>
  <c r="AF41" i="8"/>
  <c r="AE41" i="8"/>
  <c r="AD41" i="8"/>
  <c r="AC41" i="8"/>
  <c r="AB41" i="8"/>
  <c r="AA41" i="8"/>
  <c r="W41" i="8"/>
  <c r="V41" i="8"/>
  <c r="U41" i="8"/>
  <c r="T41" i="8"/>
  <c r="S41" i="8"/>
  <c r="AS39" i="8"/>
  <c r="AR39" i="8"/>
  <c r="AL39" i="8"/>
  <c r="AK39" i="8"/>
  <c r="AH39" i="8"/>
  <c r="AG39" i="8"/>
  <c r="AF39" i="8"/>
  <c r="AE39" i="8"/>
  <c r="AD39" i="8"/>
  <c r="AC39" i="8"/>
  <c r="AB39" i="8"/>
  <c r="AA39" i="8"/>
  <c r="W39" i="8"/>
  <c r="V39" i="8"/>
  <c r="U39" i="8"/>
  <c r="T39" i="8"/>
  <c r="S39" i="8"/>
  <c r="BB38" i="8"/>
  <c r="AS41" i="8" s="1"/>
  <c r="BA38" i="8"/>
  <c r="AR41" i="8" s="1"/>
  <c r="AZ38" i="8"/>
  <c r="AQ41" i="8" s="1"/>
  <c r="AL38" i="8"/>
  <c r="AK38" i="8"/>
  <c r="AH38" i="8"/>
  <c r="AG38" i="8"/>
  <c r="AF38" i="8"/>
  <c r="AE38" i="8"/>
  <c r="AD38" i="8"/>
  <c r="AC38" i="8"/>
  <c r="AB38" i="8"/>
  <c r="AA38" i="8"/>
  <c r="W38" i="8"/>
  <c r="V38" i="8"/>
  <c r="U38" i="8"/>
  <c r="T38" i="8"/>
  <c r="S38" i="8"/>
  <c r="BD31" i="11" l="1"/>
  <c r="AR35" i="11" s="1"/>
  <c r="AW31" i="11"/>
  <c r="AQ33" i="11" s="1"/>
  <c r="BG31" i="11"/>
  <c r="AR36" i="11" s="1"/>
  <c r="BF31" i="11"/>
  <c r="AQ36" i="11" s="1"/>
  <c r="AX31" i="11"/>
  <c r="AR33" i="11" s="1"/>
  <c r="BE31" i="11"/>
  <c r="AS35" i="11" s="1"/>
  <c r="BC31" i="11"/>
  <c r="AQ35" i="11" s="1"/>
  <c r="AY31" i="11"/>
  <c r="AS33" i="11" s="1"/>
  <c r="AX38" i="8"/>
  <c r="AR40" i="8" s="1"/>
  <c r="AX30" i="17"/>
  <c r="AR32" i="17" s="1"/>
  <c r="AX57" i="18"/>
  <c r="AR59" i="18" s="1"/>
  <c r="AR54" i="9"/>
  <c r="AF34" i="17"/>
  <c r="AL34" i="17"/>
  <c r="BH32" i="12"/>
  <c r="AR37" i="12" s="1"/>
  <c r="Z38" i="15"/>
  <c r="Y35" i="14"/>
  <c r="AI35" i="14"/>
  <c r="V36" i="12"/>
  <c r="AL36" i="12"/>
  <c r="AW30" i="17"/>
  <c r="AQ32" i="17" s="1"/>
  <c r="BI25" i="16"/>
  <c r="AT30" i="16" s="1"/>
  <c r="AD61" i="18"/>
  <c r="AH61" i="18"/>
  <c r="BF25" i="16"/>
  <c r="AT29" i="16" s="1"/>
  <c r="BJ25" i="16"/>
  <c r="AU30" i="16" s="1"/>
  <c r="AC35" i="14"/>
  <c r="AM35" i="14"/>
  <c r="BH38" i="8"/>
  <c r="AS43" i="8" s="1"/>
  <c r="W34" i="17"/>
  <c r="AC34" i="17"/>
  <c r="AG34" i="17"/>
  <c r="T61" i="18"/>
  <c r="BH57" i="18"/>
  <c r="AS62" i="18" s="1"/>
  <c r="AY57" i="18"/>
  <c r="AS59" i="18" s="1"/>
  <c r="AF38" i="15"/>
  <c r="AJ38" i="15"/>
  <c r="V38" i="15"/>
  <c r="W35" i="11"/>
  <c r="BD30" i="17"/>
  <c r="AR34" i="17" s="1"/>
  <c r="AY30" i="17"/>
  <c r="AS32" i="17" s="1"/>
  <c r="BA25" i="16"/>
  <c r="AU27" i="16" s="1"/>
  <c r="AD29" i="16"/>
  <c r="AN29" i="16"/>
  <c r="AE29" i="16"/>
  <c r="AO29" i="16"/>
  <c r="U36" i="12"/>
  <c r="Y36" i="12"/>
  <c r="AM36" i="12"/>
  <c r="AK35" i="11"/>
  <c r="BE38" i="8"/>
  <c r="AS42" i="8" s="1"/>
  <c r="AB56" i="9"/>
  <c r="AL56" i="9"/>
  <c r="U35" i="11"/>
  <c r="W36" i="12"/>
  <c r="V42" i="8"/>
  <c r="AB42" i="8"/>
  <c r="AF42" i="8"/>
  <c r="AL42" i="8"/>
  <c r="AS54" i="9"/>
  <c r="AZ32" i="12"/>
  <c r="AS34" i="12" s="1"/>
  <c r="BI32" i="12"/>
  <c r="AS37" i="12" s="1"/>
  <c r="T34" i="17"/>
  <c r="BE30" i="17"/>
  <c r="AS34" i="17" s="1"/>
  <c r="W29" i="16"/>
  <c r="AA29" i="16"/>
  <c r="AG29" i="16"/>
  <c r="AK29" i="16"/>
  <c r="AD38" i="15"/>
  <c r="V61" i="18"/>
  <c r="AB61" i="18"/>
  <c r="AF61" i="18"/>
  <c r="AL61" i="18"/>
  <c r="U61" i="18"/>
  <c r="AA61" i="18"/>
  <c r="AE61" i="18"/>
  <c r="AK61" i="18"/>
  <c r="T35" i="11"/>
  <c r="S35" i="11"/>
  <c r="AY38" i="8"/>
  <c r="AS40" i="8" s="1"/>
  <c r="AW38" i="8"/>
  <c r="AQ40" i="8" s="1"/>
  <c r="AQ57" i="9"/>
  <c r="AA56" i="9"/>
  <c r="AK56" i="9"/>
  <c r="AD35" i="14"/>
  <c r="AJ35" i="14"/>
  <c r="AN35" i="14"/>
  <c r="AA35" i="14"/>
  <c r="AG35" i="14"/>
  <c r="AK35" i="14"/>
  <c r="AQ35" i="14"/>
  <c r="BF57" i="18"/>
  <c r="AQ62" i="18" s="1"/>
  <c r="AD34" i="17"/>
  <c r="AH34" i="17"/>
  <c r="V34" i="17"/>
  <c r="S34" i="17"/>
  <c r="Z35" i="14"/>
  <c r="T42" i="8"/>
  <c r="AD42" i="8"/>
  <c r="AH42" i="8"/>
  <c r="BC38" i="8"/>
  <c r="AQ42" i="8" s="1"/>
  <c r="BD38" i="8"/>
  <c r="AR42" i="8" s="1"/>
  <c r="S42" i="8"/>
  <c r="W42" i="8"/>
  <c r="AC42" i="8"/>
  <c r="AG42" i="8"/>
  <c r="BG38" i="8"/>
  <c r="AR43" i="8" s="1"/>
  <c r="BF38" i="8"/>
  <c r="AQ43" i="8" s="1"/>
  <c r="U42" i="8"/>
  <c r="AA42" i="8"/>
  <c r="AE42" i="8"/>
  <c r="AK42" i="8"/>
  <c r="AR57" i="9"/>
  <c r="AN38" i="15"/>
  <c r="BD57" i="18"/>
  <c r="AR61" i="18" s="1"/>
  <c r="BC57" i="18"/>
  <c r="AQ61" i="18" s="1"/>
  <c r="BG57" i="18"/>
  <c r="AR62" i="18" s="1"/>
  <c r="AW57" i="18"/>
  <c r="AQ59" i="18" s="1"/>
  <c r="BE57" i="18"/>
  <c r="AS61" i="18" s="1"/>
  <c r="S61" i="18"/>
  <c r="W61" i="18"/>
  <c r="AC61" i="18"/>
  <c r="AG61" i="18"/>
  <c r="BF30" i="17"/>
  <c r="AQ35" i="17" s="1"/>
  <c r="BC30" i="17"/>
  <c r="AQ34" i="17" s="1"/>
  <c r="BG30" i="17"/>
  <c r="AR35" i="17" s="1"/>
  <c r="U34" i="17"/>
  <c r="AE34" i="17"/>
  <c r="AK34" i="17"/>
  <c r="AZ25" i="16"/>
  <c r="AT27" i="16" s="1"/>
  <c r="BG25" i="16"/>
  <c r="AU29" i="16" s="1"/>
  <c r="BK25" i="16"/>
  <c r="AV30" i="16" s="1"/>
  <c r="BH25" i="16"/>
  <c r="AV29" i="16" s="1"/>
  <c r="BB25" i="16"/>
  <c r="AV27" i="16" s="1"/>
  <c r="V29" i="16"/>
  <c r="Z29" i="16"/>
  <c r="AF29" i="16"/>
  <c r="AJ29" i="16"/>
  <c r="BK34" i="15"/>
  <c r="AV39" i="15" s="1"/>
  <c r="AZ34" i="15"/>
  <c r="AT36" i="15" s="1"/>
  <c r="BG34" i="15"/>
  <c r="AU38" i="15" s="1"/>
  <c r="AE38" i="15"/>
  <c r="AO38" i="15"/>
  <c r="BM31" i="14"/>
  <c r="AX36" i="14" s="1"/>
  <c r="BE31" i="14"/>
  <c r="AY33" i="14" s="1"/>
  <c r="BD31" i="14"/>
  <c r="AX33" i="14" s="1"/>
  <c r="BC31" i="14"/>
  <c r="AW33" i="14" s="1"/>
  <c r="BJ31" i="14"/>
  <c r="AX35" i="14" s="1"/>
  <c r="BN31" i="14"/>
  <c r="AY36" i="14" s="1"/>
  <c r="BI31" i="14"/>
  <c r="AW35" i="14" s="1"/>
  <c r="BL31" i="14"/>
  <c r="AW36" i="14" s="1"/>
  <c r="BK31" i="14"/>
  <c r="AY35" i="14" s="1"/>
  <c r="AB35" i="14"/>
  <c r="AH35" i="14"/>
  <c r="AL35" i="14"/>
  <c r="AR35" i="14"/>
  <c r="AY32" i="12"/>
  <c r="AR34" i="12" s="1"/>
  <c r="BF32" i="12"/>
  <c r="AS36" i="12" s="1"/>
  <c r="BE32" i="12"/>
  <c r="AR36" i="12" s="1"/>
  <c r="BG32" i="12"/>
  <c r="AT36" i="12" s="1"/>
  <c r="T36" i="12"/>
  <c r="AS36" i="11"/>
  <c r="V35" i="11"/>
  <c r="AL35" i="11"/>
  <c r="AQ56" i="9"/>
  <c r="AQ54" i="9"/>
  <c r="AR56" i="9"/>
  <c r="AS56" i="9"/>
  <c r="S56" i="9"/>
  <c r="BH34" i="15"/>
  <c r="AV38" i="15" s="1"/>
  <c r="BF34" i="15"/>
  <c r="AT38" i="15" s="1"/>
  <c r="BJ34" i="15"/>
  <c r="AU39" i="15" s="1"/>
  <c r="BB34" i="15"/>
  <c r="AV36" i="15" s="1"/>
  <c r="BI34" i="15"/>
  <c r="AT39" i="15" s="1"/>
  <c r="BA34" i="15"/>
  <c r="AU36" i="15" s="1"/>
  <c r="W38" i="15"/>
  <c r="AA38" i="15"/>
  <c r="AG38" i="15"/>
  <c r="AK38" i="15"/>
  <c r="BN31" i="2"/>
  <c r="BM31" i="2"/>
  <c r="BK31" i="2"/>
  <c r="BJ31" i="2"/>
  <c r="BE31" i="2"/>
  <c r="BD31" i="2"/>
  <c r="BN30" i="2"/>
  <c r="BM30" i="2"/>
  <c r="BK30" i="2"/>
  <c r="BJ30" i="2"/>
  <c r="BE30" i="2"/>
  <c r="BD30" i="2"/>
  <c r="BN29" i="2"/>
  <c r="BM29" i="2"/>
  <c r="BK29" i="2"/>
  <c r="BJ29" i="2"/>
  <c r="BE29" i="2"/>
  <c r="BD29" i="2"/>
  <c r="BN28" i="2"/>
  <c r="BM28" i="2"/>
  <c r="BK28" i="2"/>
  <c r="BJ28" i="2"/>
  <c r="BE28" i="2"/>
  <c r="BD28" i="2"/>
  <c r="BN27" i="2"/>
  <c r="BM27" i="2"/>
  <c r="BK27" i="2"/>
  <c r="BJ27" i="2"/>
  <c r="BE27" i="2"/>
  <c r="BD27" i="2"/>
  <c r="BN26" i="2"/>
  <c r="BM26" i="2"/>
  <c r="BK26" i="2"/>
  <c r="BJ26" i="2"/>
  <c r="BE26" i="2"/>
  <c r="BD26" i="2"/>
  <c r="BN25" i="2"/>
  <c r="BM25" i="2"/>
  <c r="BK25" i="2"/>
  <c r="BJ25" i="2"/>
  <c r="BE25" i="2"/>
  <c r="BD25" i="2"/>
  <c r="BN24" i="2"/>
  <c r="BM24" i="2"/>
  <c r="BK24" i="2"/>
  <c r="BJ24" i="2"/>
  <c r="BE24" i="2"/>
  <c r="BD24" i="2"/>
  <c r="BN23" i="2"/>
  <c r="BM23" i="2"/>
  <c r="BK23" i="2"/>
  <c r="BJ23" i="2"/>
  <c r="BE23" i="2"/>
  <c r="BD23" i="2"/>
  <c r="BN20" i="2"/>
  <c r="BM20" i="2"/>
  <c r="BK20" i="2"/>
  <c r="BJ20" i="2"/>
  <c r="BE20" i="2"/>
  <c r="BD20" i="2"/>
  <c r="BN24" i="3"/>
  <c r="BM24" i="3"/>
  <c r="BK24" i="3"/>
  <c r="BJ24" i="3"/>
  <c r="BE24" i="3"/>
  <c r="BD24" i="3"/>
  <c r="BN23" i="3"/>
  <c r="BM23" i="3"/>
  <c r="BK23" i="3"/>
  <c r="BJ23" i="3"/>
  <c r="BE23" i="3"/>
  <c r="BD23" i="3"/>
  <c r="BN14" i="3"/>
  <c r="BM14" i="3"/>
  <c r="BK14" i="3"/>
  <c r="BJ14" i="3"/>
  <c r="BE14" i="3"/>
  <c r="BD14" i="3"/>
  <c r="BN13" i="3"/>
  <c r="BM13" i="3"/>
  <c r="BK13" i="3"/>
  <c r="BJ13" i="3"/>
  <c r="BE13" i="3"/>
  <c r="BD13" i="3"/>
  <c r="BN12" i="3"/>
  <c r="BM12" i="3"/>
  <c r="BK12" i="3"/>
  <c r="BJ12" i="3"/>
  <c r="BE12" i="3"/>
  <c r="BD12" i="3"/>
  <c r="BN11" i="3"/>
  <c r="BM11" i="3"/>
  <c r="BK11" i="3"/>
  <c r="BJ11" i="3"/>
  <c r="BE11" i="3"/>
  <c r="BD11" i="3"/>
  <c r="BN10" i="3"/>
  <c r="BM10" i="3"/>
  <c r="BK10" i="3"/>
  <c r="BJ10" i="3"/>
  <c r="BE10" i="3"/>
  <c r="BD10" i="3"/>
  <c r="BP15" i="4"/>
  <c r="BO15" i="4"/>
  <c r="BN15" i="4"/>
  <c r="BM15" i="4"/>
  <c r="BL15" i="4"/>
  <c r="BK15" i="4"/>
  <c r="BG15" i="4"/>
  <c r="BF15" i="4"/>
  <c r="BE15" i="4"/>
  <c r="BP14" i="4"/>
  <c r="BO14" i="4"/>
  <c r="BN14" i="4"/>
  <c r="BM14" i="4"/>
  <c r="BL14" i="4"/>
  <c r="BK14" i="4"/>
  <c r="BG14" i="4"/>
  <c r="BF14" i="4"/>
  <c r="BE14" i="4"/>
  <c r="BP12" i="4"/>
  <c r="BO12" i="4"/>
  <c r="BN12" i="4"/>
  <c r="BM12" i="4"/>
  <c r="BL12" i="4"/>
  <c r="BK12" i="4"/>
  <c r="BG12" i="4"/>
  <c r="BF12" i="4"/>
  <c r="BE12" i="4"/>
  <c r="BP11" i="4"/>
  <c r="BO11" i="4"/>
  <c r="BN11" i="4"/>
  <c r="BM11" i="4"/>
  <c r="BL11" i="4"/>
  <c r="BK11" i="4"/>
  <c r="BG11" i="4"/>
  <c r="BF11" i="4"/>
  <c r="BE11" i="4"/>
  <c r="BP10" i="4"/>
  <c r="BO10" i="4"/>
  <c r="BN10" i="4"/>
  <c r="BM10" i="4"/>
  <c r="BL10" i="4"/>
  <c r="BK10" i="4"/>
  <c r="BG10" i="4"/>
  <c r="BF10" i="4"/>
  <c r="BE10" i="4"/>
  <c r="BI42" i="1"/>
  <c r="BH42" i="1"/>
  <c r="BF42" i="1"/>
  <c r="BE42" i="1"/>
  <c r="AZ42" i="1"/>
  <c r="AY42" i="1"/>
  <c r="BN38" i="2"/>
  <c r="BM38" i="2"/>
  <c r="BK38" i="2"/>
  <c r="BJ38" i="2"/>
  <c r="BE38" i="2"/>
  <c r="BD38" i="2"/>
  <c r="BN37" i="2"/>
  <c r="BM37" i="2"/>
  <c r="BK37" i="2"/>
  <c r="BJ37" i="2"/>
  <c r="BE37" i="2"/>
  <c r="BD37" i="2"/>
  <c r="BN36" i="2"/>
  <c r="BM36" i="2"/>
  <c r="BK36" i="2"/>
  <c r="BJ36" i="2"/>
  <c r="BE36" i="2"/>
  <c r="BD36" i="2"/>
  <c r="BN35" i="2"/>
  <c r="BM35" i="2"/>
  <c r="BK35" i="2"/>
  <c r="BJ35" i="2"/>
  <c r="BE35" i="2"/>
  <c r="BD35" i="2"/>
  <c r="BN34" i="2"/>
  <c r="BM34" i="2"/>
  <c r="BK34" i="2"/>
  <c r="BJ34" i="2"/>
  <c r="BE34" i="2"/>
  <c r="BD34" i="2"/>
  <c r="BN33" i="2"/>
  <c r="BM33" i="2"/>
  <c r="BK33" i="2"/>
  <c r="BJ33" i="2"/>
  <c r="BE33" i="2"/>
  <c r="BD33" i="2"/>
  <c r="BN32" i="2"/>
  <c r="BM32" i="2"/>
  <c r="BK32" i="2"/>
  <c r="BJ32" i="2"/>
  <c r="BE32" i="2"/>
  <c r="BD32" i="2"/>
  <c r="BN42" i="2"/>
  <c r="BM42" i="2"/>
  <c r="BK42" i="2"/>
  <c r="BJ42" i="2"/>
  <c r="BE42" i="2"/>
  <c r="BD42" i="2"/>
  <c r="BN41" i="2"/>
  <c r="BM41" i="2"/>
  <c r="BK41" i="2"/>
  <c r="BJ41" i="2"/>
  <c r="BE41" i="2"/>
  <c r="BD41" i="2"/>
  <c r="BN40" i="2"/>
  <c r="BM40" i="2"/>
  <c r="BK40" i="2"/>
  <c r="BJ40" i="2"/>
  <c r="BE40" i="2"/>
  <c r="BD40" i="2"/>
  <c r="BN39" i="2"/>
  <c r="BM39" i="2"/>
  <c r="BK39" i="2"/>
  <c r="BJ39" i="2"/>
  <c r="BE39" i="2"/>
  <c r="BD39" i="2"/>
  <c r="BN44" i="2"/>
  <c r="BM44" i="2"/>
  <c r="BK44" i="2"/>
  <c r="BJ44" i="2"/>
  <c r="BE44" i="2"/>
  <c r="BD44" i="2"/>
  <c r="BN43" i="2"/>
  <c r="BM43" i="2"/>
  <c r="BK43" i="2"/>
  <c r="BJ43" i="2"/>
  <c r="BE43" i="2"/>
  <c r="BD43" i="2"/>
  <c r="BN45" i="2"/>
  <c r="BM45" i="2"/>
  <c r="BK45" i="2"/>
  <c r="BJ45" i="2"/>
  <c r="BE45" i="2"/>
  <c r="BD45" i="2"/>
  <c r="BN9" i="3"/>
  <c r="BM9" i="3"/>
  <c r="BK9" i="3"/>
  <c r="BJ9" i="3"/>
  <c r="BE9" i="3"/>
  <c r="BD9" i="3"/>
  <c r="BN8" i="3"/>
  <c r="BM8" i="3"/>
  <c r="BK8" i="3"/>
  <c r="BJ8" i="3"/>
  <c r="BE8" i="3"/>
  <c r="BD8" i="3"/>
  <c r="BN7" i="3"/>
  <c r="BM7" i="3"/>
  <c r="BK7" i="3"/>
  <c r="BJ7" i="3"/>
  <c r="BE7" i="3"/>
  <c r="BD7" i="3"/>
  <c r="BN6" i="3"/>
  <c r="BM6" i="3"/>
  <c r="BK6" i="3"/>
  <c r="BJ6" i="3"/>
  <c r="BE6" i="3"/>
  <c r="BD6" i="3"/>
  <c r="BN5" i="3"/>
  <c r="BM5" i="3"/>
  <c r="BK5" i="3"/>
  <c r="BJ5" i="3"/>
  <c r="BE5" i="3"/>
  <c r="BD5" i="3"/>
  <c r="BN20" i="3"/>
  <c r="BM20" i="3"/>
  <c r="BK20" i="3"/>
  <c r="BJ20" i="3"/>
  <c r="BE20" i="3"/>
  <c r="BD20" i="3"/>
  <c r="BN19" i="3"/>
  <c r="BM19" i="3"/>
  <c r="BK19" i="3"/>
  <c r="BJ19" i="3"/>
  <c r="BE19" i="3"/>
  <c r="BD19" i="3"/>
  <c r="BN18" i="3"/>
  <c r="BM18" i="3"/>
  <c r="BK18" i="3"/>
  <c r="BJ18" i="3"/>
  <c r="BE18" i="3"/>
  <c r="BD18" i="3"/>
  <c r="BN17" i="3"/>
  <c r="BM17" i="3"/>
  <c r="BK17" i="3"/>
  <c r="BJ17" i="3"/>
  <c r="BE17" i="3"/>
  <c r="BD17" i="3"/>
  <c r="BN16" i="3"/>
  <c r="BM16" i="3"/>
  <c r="BK16" i="3"/>
  <c r="BJ16" i="3"/>
  <c r="BE16" i="3"/>
  <c r="BD16" i="3"/>
  <c r="BP18" i="4"/>
  <c r="BO18" i="4"/>
  <c r="BN18" i="4"/>
  <c r="BM18" i="4"/>
  <c r="BL18" i="4"/>
  <c r="BK18" i="4"/>
  <c r="BG18" i="4"/>
  <c r="BF18" i="4"/>
  <c r="BE18" i="4"/>
  <c r="BP17" i="4"/>
  <c r="BO17" i="4"/>
  <c r="BN17" i="4"/>
  <c r="BM17" i="4"/>
  <c r="BL17" i="4"/>
  <c r="BK17" i="4"/>
  <c r="BG17" i="4"/>
  <c r="BF17" i="4"/>
  <c r="BE17" i="4"/>
  <c r="BP16" i="4"/>
  <c r="BO16" i="4"/>
  <c r="BN16" i="4"/>
  <c r="BM16" i="4"/>
  <c r="BL16" i="4"/>
  <c r="BK16" i="4"/>
  <c r="BG16" i="4"/>
  <c r="BF16" i="4"/>
  <c r="BE16" i="4"/>
  <c r="BP30" i="4" l="1"/>
  <c r="BO30" i="4"/>
  <c r="BN30" i="4"/>
  <c r="AS28" i="4"/>
  <c r="AR28" i="4"/>
  <c r="AO28" i="4"/>
  <c r="AN28" i="4"/>
  <c r="AM28" i="4"/>
  <c r="AL28" i="4"/>
  <c r="AK28" i="4"/>
  <c r="AJ28" i="4"/>
  <c r="AI28" i="4"/>
  <c r="AH28" i="4"/>
  <c r="AE28" i="4"/>
  <c r="AD28" i="4"/>
  <c r="AC28" i="4"/>
  <c r="AB28" i="4"/>
  <c r="AA28" i="4"/>
  <c r="Z28" i="4"/>
  <c r="AZ26" i="4"/>
  <c r="AY26" i="4"/>
  <c r="AS26" i="4"/>
  <c r="AR26" i="4"/>
  <c r="AO26" i="4"/>
  <c r="AN26" i="4"/>
  <c r="AM26" i="4"/>
  <c r="AL26" i="4"/>
  <c r="AK26" i="4"/>
  <c r="AJ26" i="4"/>
  <c r="AI26" i="4"/>
  <c r="AH26" i="4"/>
  <c r="AE26" i="4"/>
  <c r="AD26" i="4"/>
  <c r="AC26" i="4"/>
  <c r="AB26" i="4"/>
  <c r="AA26" i="4"/>
  <c r="Z26" i="4"/>
  <c r="BJ25" i="4"/>
  <c r="AZ28" i="4" s="1"/>
  <c r="BI25" i="4"/>
  <c r="AY28" i="4" s="1"/>
  <c r="BH25" i="4"/>
  <c r="AX28" i="4" s="1"/>
  <c r="BP23" i="4"/>
  <c r="BO23" i="4"/>
  <c r="BN23" i="4"/>
  <c r="BM23" i="4"/>
  <c r="BL23" i="4"/>
  <c r="BK23" i="4"/>
  <c r="BG23" i="4"/>
  <c r="BF23" i="4"/>
  <c r="BE23" i="4"/>
  <c r="BP22" i="4"/>
  <c r="BO22" i="4"/>
  <c r="BN22" i="4"/>
  <c r="BM22" i="4"/>
  <c r="BL22" i="4"/>
  <c r="BK22" i="4"/>
  <c r="BG22" i="4"/>
  <c r="BF22" i="4"/>
  <c r="BE22" i="4"/>
  <c r="BP21" i="4"/>
  <c r="BO21" i="4"/>
  <c r="BN21" i="4"/>
  <c r="BM21" i="4"/>
  <c r="BL21" i="4"/>
  <c r="BK21" i="4"/>
  <c r="BG21" i="4"/>
  <c r="BF21" i="4"/>
  <c r="BE21" i="4"/>
  <c r="BP20" i="4"/>
  <c r="BO20" i="4"/>
  <c r="BN20" i="4"/>
  <c r="BM20" i="4"/>
  <c r="BL20" i="4"/>
  <c r="BK20" i="4"/>
  <c r="BG20" i="4"/>
  <c r="BF20" i="4"/>
  <c r="BE20" i="4"/>
  <c r="BP19" i="4"/>
  <c r="BO19" i="4"/>
  <c r="BN19" i="4"/>
  <c r="BM19" i="4"/>
  <c r="BL19" i="4"/>
  <c r="BK19" i="4"/>
  <c r="BG19" i="4"/>
  <c r="BF19" i="4"/>
  <c r="BE19" i="4"/>
  <c r="BN35" i="3"/>
  <c r="BM35" i="3"/>
  <c r="AR33" i="3"/>
  <c r="AQ33" i="3"/>
  <c r="AN33" i="3"/>
  <c r="AM33" i="3"/>
  <c r="AL33" i="3"/>
  <c r="AK33" i="3"/>
  <c r="AJ33" i="3"/>
  <c r="AI33" i="3"/>
  <c r="AH33" i="3"/>
  <c r="AG33" i="3"/>
  <c r="AD33" i="3"/>
  <c r="AC33" i="3"/>
  <c r="AB33" i="3"/>
  <c r="AA33" i="3"/>
  <c r="Z33" i="3"/>
  <c r="Y33" i="3"/>
  <c r="AY31" i="3"/>
  <c r="AX31" i="3"/>
  <c r="AR31" i="3"/>
  <c r="AQ31" i="3"/>
  <c r="AN31" i="3"/>
  <c r="AM31" i="3"/>
  <c r="AL31" i="3"/>
  <c r="AK31" i="3"/>
  <c r="AJ31" i="3"/>
  <c r="AI31" i="3"/>
  <c r="AH31" i="3"/>
  <c r="AG31" i="3"/>
  <c r="AD31" i="3"/>
  <c r="AC31" i="3"/>
  <c r="AB31" i="3"/>
  <c r="AA31" i="3"/>
  <c r="Z31" i="3"/>
  <c r="Y31" i="3"/>
  <c r="BH30" i="3"/>
  <c r="AY33" i="3" s="1"/>
  <c r="BG30" i="3"/>
  <c r="AX33" i="3" s="1"/>
  <c r="BF30" i="3"/>
  <c r="AW33" i="3" s="1"/>
  <c r="AR30" i="3"/>
  <c r="AQ30" i="3"/>
  <c r="AN30" i="3"/>
  <c r="AM30" i="3"/>
  <c r="AL30" i="3"/>
  <c r="AK30" i="3"/>
  <c r="AJ30" i="3"/>
  <c r="AI30" i="3"/>
  <c r="AH30" i="3"/>
  <c r="AG30" i="3"/>
  <c r="AD30" i="3"/>
  <c r="AC30" i="3"/>
  <c r="AB30" i="3"/>
  <c r="AA30" i="3"/>
  <c r="Z30" i="3"/>
  <c r="Y30" i="3"/>
  <c r="BN28" i="3"/>
  <c r="BM28" i="3"/>
  <c r="BK28" i="3"/>
  <c r="BJ28" i="3"/>
  <c r="BE28" i="3"/>
  <c r="BD28" i="3"/>
  <c r="BN27" i="3"/>
  <c r="BM27" i="3"/>
  <c r="BK27" i="3"/>
  <c r="BJ27" i="3"/>
  <c r="BE27" i="3"/>
  <c r="BD27" i="3"/>
  <c r="BN26" i="3"/>
  <c r="BM26" i="3"/>
  <c r="BK26" i="3"/>
  <c r="BJ26" i="3"/>
  <c r="BE26" i="3"/>
  <c r="BD26" i="3"/>
  <c r="BN25" i="3"/>
  <c r="BM25" i="3"/>
  <c r="BK25" i="3"/>
  <c r="BJ25" i="3"/>
  <c r="BE25" i="3"/>
  <c r="BD25" i="3"/>
  <c r="BN22" i="3"/>
  <c r="BM22" i="3"/>
  <c r="BK22" i="3"/>
  <c r="BJ22" i="3"/>
  <c r="BE22" i="3"/>
  <c r="BD22" i="3"/>
  <c r="BN21" i="3"/>
  <c r="BM21" i="3"/>
  <c r="BK21" i="3"/>
  <c r="BJ21" i="3"/>
  <c r="BE21" i="3"/>
  <c r="BD21" i="3"/>
  <c r="BN54" i="2"/>
  <c r="BM54" i="2"/>
  <c r="AY50" i="2"/>
  <c r="AY52" i="2"/>
  <c r="AX52" i="2"/>
  <c r="AW52" i="2"/>
  <c r="BN47" i="2"/>
  <c r="BM47" i="2"/>
  <c r="BK47" i="2"/>
  <c r="BJ47" i="2"/>
  <c r="BE47" i="2"/>
  <c r="BD47" i="2"/>
  <c r="BN46" i="2"/>
  <c r="BM46" i="2"/>
  <c r="BK46" i="2"/>
  <c r="BJ46" i="2"/>
  <c r="BE46" i="2"/>
  <c r="BD46" i="2"/>
  <c r="BJ47" i="1"/>
  <c r="BI47" i="1"/>
  <c r="BH47" i="1"/>
  <c r="AM45" i="1"/>
  <c r="AL45" i="1"/>
  <c r="AC45" i="1"/>
  <c r="AB45" i="1"/>
  <c r="AT43" i="1"/>
  <c r="AM43" i="1"/>
  <c r="AL43" i="1"/>
  <c r="AC43" i="1"/>
  <c r="AB43" i="1"/>
  <c r="AT45" i="1"/>
  <c r="AS45" i="1"/>
  <c r="AR45" i="1"/>
  <c r="AM42" i="1"/>
  <c r="AL42" i="1"/>
  <c r="AC42" i="1"/>
  <c r="AB42" i="1"/>
  <c r="BD49" i="2" l="1"/>
  <c r="AX51" i="2" s="1"/>
  <c r="BE49" i="2"/>
  <c r="AY51" i="2" s="1"/>
  <c r="BJ49" i="2"/>
  <c r="AX53" i="2" s="1"/>
  <c r="BK49" i="2"/>
  <c r="AY53" i="2" s="1"/>
  <c r="BM49" i="2"/>
  <c r="AX54" i="2" s="1"/>
  <c r="BN49" i="2"/>
  <c r="AY54" i="2" s="1"/>
  <c r="AW51" i="2"/>
  <c r="AT47" i="1"/>
  <c r="AC29" i="4"/>
  <c r="AI29" i="4"/>
  <c r="AM29" i="4"/>
  <c r="AS29" i="4"/>
  <c r="AR44" i="1"/>
  <c r="AB46" i="1"/>
  <c r="AL46" i="1"/>
  <c r="Y34" i="3"/>
  <c r="AC34" i="3"/>
  <c r="AI34" i="3"/>
  <c r="AM34" i="3"/>
  <c r="BG25" i="4"/>
  <c r="AZ27" i="4" s="1"/>
  <c r="BN25" i="4"/>
  <c r="AX30" i="4" s="1"/>
  <c r="AA29" i="4"/>
  <c r="AE29" i="4"/>
  <c r="AK29" i="4"/>
  <c r="AO29" i="4"/>
  <c r="AS46" i="1"/>
  <c r="AR47" i="1"/>
  <c r="AS44" i="1"/>
  <c r="Y53" i="2"/>
  <c r="BI30" i="3"/>
  <c r="AW34" i="3" s="1"/>
  <c r="BM30" i="3"/>
  <c r="AX35" i="3" s="1"/>
  <c r="AA34" i="3"/>
  <c r="AG34" i="3"/>
  <c r="AK34" i="3"/>
  <c r="AQ34" i="3"/>
  <c r="AT44" i="1"/>
  <c r="AC46" i="1"/>
  <c r="AM46" i="1"/>
  <c r="BK30" i="3"/>
  <c r="AY34" i="3" s="1"/>
  <c r="BE25" i="4"/>
  <c r="AX27" i="4" s="1"/>
  <c r="BL25" i="4"/>
  <c r="AY29" i="4" s="1"/>
  <c r="BP25" i="4"/>
  <c r="AZ30" i="4" s="1"/>
  <c r="AR46" i="1"/>
  <c r="AS47" i="1"/>
  <c r="T46" i="1"/>
  <c r="BE30" i="3"/>
  <c r="AY32" i="3" s="1"/>
  <c r="AB34" i="3"/>
  <c r="AH34" i="3"/>
  <c r="AL34" i="3"/>
  <c r="AR34" i="3"/>
  <c r="BF25" i="4"/>
  <c r="AY27" i="4" s="1"/>
  <c r="BM25" i="4"/>
  <c r="AZ29" i="4" s="1"/>
  <c r="Z29" i="4"/>
  <c r="AD29" i="4"/>
  <c r="AJ29" i="4"/>
  <c r="AN29" i="4"/>
  <c r="AT46" i="1"/>
  <c r="AW53" i="2"/>
  <c r="AW54" i="2"/>
  <c r="BC30" i="3"/>
  <c r="AW32" i="3" s="1"/>
  <c r="BJ30" i="3"/>
  <c r="AX34" i="3" s="1"/>
  <c r="BN30" i="3"/>
  <c r="AY35" i="3" s="1"/>
  <c r="BL30" i="3"/>
  <c r="AW35" i="3" s="1"/>
  <c r="BD30" i="3"/>
  <c r="AX32" i="3" s="1"/>
  <c r="Z34" i="3"/>
  <c r="AD34" i="3"/>
  <c r="AJ34" i="3"/>
  <c r="AN34" i="3"/>
  <c r="BK25" i="4"/>
  <c r="AX29" i="4" s="1"/>
  <c r="BO25" i="4"/>
  <c r="AY30" i="4" s="1"/>
  <c r="AB29" i="4"/>
  <c r="AH29" i="4"/>
  <c r="AL29" i="4"/>
  <c r="AR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BD71D00-C64D-47AF-8E8D-49F2BCE72B8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2250409</t>
        </r>
      </text>
    </comment>
    <comment ref="A6" authorId="0" shapeId="0" xr:uid="{54B9C75C-6BD1-4F66-B862-0D2FDB32549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2250811
</t>
        </r>
      </text>
    </comment>
    <comment ref="A7" authorId="0" shapeId="0" xr:uid="{A295793D-868B-4F00-9393-DE75B75DBD2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2251713</t>
        </r>
      </text>
    </comment>
    <comment ref="A8" authorId="0" shapeId="0" xr:uid="{BB9C7114-BD86-43F0-B568-087D92FB17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2253425</t>
        </r>
      </text>
    </comment>
    <comment ref="A9" authorId="0" shapeId="0" xr:uid="{8216EEAE-836E-41F9-BE77-E5BC003B779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2253906</t>
        </r>
      </text>
    </comment>
    <comment ref="A10" authorId="0" shapeId="0" xr:uid="{D26840F3-5496-4DA7-94B0-4844DCF30C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2254716</t>
        </r>
      </text>
    </comment>
    <comment ref="A12" authorId="0" shapeId="0" xr:uid="{3D05E3CA-1E76-4937-BFF7-7F7E3F21EBA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2252612</t>
        </r>
      </text>
    </comment>
    <comment ref="A13" authorId="0" shapeId="0" xr:uid="{ED9A32CA-7F02-4FF0-800C-9261266124E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2253011</t>
        </r>
      </text>
    </comment>
    <comment ref="A15" authorId="0" shapeId="0" xr:uid="{88CA8C51-A887-42A4-816E-3AE6EEB7631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2254311</t>
        </r>
      </text>
    </comment>
    <comment ref="A17" authorId="0" shapeId="0" xr:uid="{43F61324-6651-4EB7-B43C-205BF88612C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8C0113D-148F-4FAB-B397-2C5E29E1E87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2253015</t>
        </r>
      </text>
    </comment>
    <comment ref="A7" authorId="0" shapeId="0" xr:uid="{EC9F8C52-ABDF-424B-A907-1A1B1C2F10B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2250812</t>
        </r>
      </text>
    </comment>
    <comment ref="A9" authorId="0" shapeId="0" xr:uid="{8CACB7FF-BAAE-49E2-84EA-5934C2DC611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95B9C1C-6CB0-4678-8C7E-E79643853F0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2252117</t>
        </r>
      </text>
    </comment>
    <comment ref="A6" authorId="0" shapeId="0" xr:uid="{45C844A4-2784-42A6-B837-C167B2FAEB7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2252614</t>
        </r>
      </text>
    </comment>
    <comment ref="A7" authorId="0" shapeId="0" xr:uid="{A643F104-FAEB-4B9A-8750-B9B318F1E5D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2254721</t>
        </r>
      </text>
    </comment>
    <comment ref="A9" authorId="0" shapeId="0" xr:uid="{84FA133E-1490-45F4-998C-66DEC5B26FA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2250813</t>
        </r>
      </text>
    </comment>
    <comment ref="A10" authorId="0" shapeId="0" xr:uid="{8D024750-60DE-47AC-9273-3B2CF757925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2251721</t>
        </r>
      </text>
    </comment>
    <comment ref="A11" authorId="0" shapeId="0" xr:uid="{FEA4D922-EF68-4FAA-BEE0-6E47E4090BB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2253432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051C3D7-365C-49B2-9277-90D74A42E80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2254310</t>
        </r>
      </text>
    </comment>
    <comment ref="A7" authorId="0" shapeId="0" xr:uid="{B0EC57F1-3B75-489A-992A-E488A313781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2252114</t>
        </r>
      </text>
    </comment>
    <comment ref="A8" authorId="0" shapeId="0" xr:uid="{C1F312F3-635A-4B17-860C-17D15223C76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2253905</t>
        </r>
      </text>
    </comment>
    <comment ref="A10" authorId="0" shapeId="0" xr:uid="{8BB288BB-14EF-46FF-BF1D-009146C17D6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2253424</t>
        </r>
      </text>
    </comment>
    <comment ref="A12" authorId="0" shapeId="0" xr:uid="{6C87C1B7-D335-49CB-AF0D-3A643ABCCBC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2250422</t>
        </r>
      </text>
    </comment>
    <comment ref="A13" authorId="0" shapeId="0" xr:uid="{017E896F-DC16-4CAC-9872-053A7F5E1C0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2250818</t>
        </r>
      </text>
    </comment>
    <comment ref="A14" authorId="0" shapeId="0" xr:uid="{06924FB2-8DB6-447C-BD3D-1CD964155B4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2251216
</t>
        </r>
      </text>
    </comment>
    <comment ref="A15" authorId="0" shapeId="0" xr:uid="{F5845751-7731-41A9-95F2-E4AE9BB0250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2251712</t>
        </r>
      </text>
    </comment>
    <comment ref="A16" authorId="0" shapeId="0" xr:uid="{9367577F-72B2-4951-854C-EEBD8E28933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2252501</t>
        </r>
      </text>
    </comment>
    <comment ref="A17" authorId="0" shapeId="0" xr:uid="{0DE6BA57-6C07-4F64-A552-E769498D842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2253018</t>
        </r>
      </text>
    </comment>
    <comment ref="A18" authorId="0" shapeId="0" xr:uid="{B6724625-9519-4DC9-875C-F4DABDF93D9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8B2760B-FFE3-4F2D-BD60-70A39ADB9FD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2254718</t>
        </r>
      </text>
    </comment>
    <comment ref="A7" authorId="0" shapeId="0" xr:uid="{B399482B-560E-4871-9E1C-D5342F1857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2253014</t>
        </r>
      </text>
    </comment>
    <comment ref="A8" authorId="0" shapeId="0" xr:uid="{AAF95A0E-A993-461A-8793-7179A8BB664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2253429</t>
        </r>
      </text>
    </comment>
    <comment ref="A10" authorId="0" shapeId="0" xr:uid="{35BCA3A0-4459-405F-A15F-917CAFCA8A5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2250417</t>
        </r>
      </text>
    </comment>
    <comment ref="A11" authorId="0" shapeId="0" xr:uid="{84FC559B-6FE9-4492-BB00-C7A452C8CC8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2251717</t>
        </r>
      </text>
    </comment>
    <comment ref="A12" authorId="0" shapeId="0" xr:uid="{360198A5-6C35-4467-8A38-227D561E7B5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2252118</t>
        </r>
      </text>
    </comment>
    <comment ref="A13" authorId="0" shapeId="0" xr:uid="{672FC60E-F547-4CA0-BE16-AD522D296F1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2252502</t>
        </r>
      </text>
    </comment>
    <comment ref="A14" authorId="0" shapeId="0" xr:uid="{E9750450-E571-432A-9CE1-446DD7DBF1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2253901</t>
        </r>
      </text>
    </comment>
    <comment ref="A15" authorId="0" shapeId="0" xr:uid="{BAEF8371-F2B3-4FB8-BA57-F850B2B1AF0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754F84EC-49D4-4E20-959B-8AF06D6A73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2250419</t>
        </r>
      </text>
    </comment>
    <comment ref="A6" authorId="0" shapeId="0" xr:uid="{A4EA47B7-4AAE-411A-AF63-03ADA783A6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2250815</t>
        </r>
      </text>
    </comment>
    <comment ref="A7" authorId="0" shapeId="0" xr:uid="{B37BFC62-9C48-44A9-8299-D2F19B9F137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2251718</t>
        </r>
      </text>
    </comment>
    <comment ref="A8" authorId="0" shapeId="0" xr:uid="{CD1D3561-D3BE-4639-B2EE-8C72021E7D9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2252119</t>
        </r>
      </text>
    </comment>
    <comment ref="A9" authorId="0" shapeId="0" xr:uid="{22FD1FAC-CAEE-4ACF-A092-244B8F0F987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2252503</t>
        </r>
      </text>
    </comment>
    <comment ref="A10" authorId="0" shapeId="0" xr:uid="{EF47B549-B55C-4243-AEC8-80B9F2AC7BE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2253016</t>
        </r>
      </text>
    </comment>
    <comment ref="A11" authorId="0" shapeId="0" xr:uid="{0C99F8A7-DDC6-494D-9AF5-ED6209E450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2253430</t>
        </r>
      </text>
    </comment>
    <comment ref="A12" authorId="0" shapeId="0" xr:uid="{DD5E86B3-E1F2-4F70-B437-EBD600A42F8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2253902</t>
        </r>
      </text>
    </comment>
    <comment ref="A13" authorId="0" shapeId="0" xr:uid="{9C5A4303-0CC4-4613-8DBA-23803AB135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2254317</t>
        </r>
      </text>
    </comment>
    <comment ref="A14" authorId="0" shapeId="0" xr:uid="{2C384CAF-91C8-4D3C-8B32-A637128600C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2254719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9A069D3-AB66-430E-A607-EFD5EE9681C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2250816</t>
        </r>
      </text>
    </comment>
    <comment ref="A6" authorId="0" shapeId="0" xr:uid="{B954824B-106D-424F-BECB-AE5448FBD2D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2252120</t>
        </r>
      </text>
    </comment>
    <comment ref="A7" authorId="0" shapeId="0" xr:uid="{A7F2B579-7C17-4537-9C6C-17552E4A028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2252504</t>
        </r>
      </text>
    </comment>
    <comment ref="A9" authorId="0" shapeId="0" xr:uid="{50614B30-2B55-4740-8E0C-714397E2F23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2253017</t>
        </r>
      </text>
    </comment>
    <comment ref="A10" authorId="0" shapeId="0" xr:uid="{780AD4D6-9690-471F-83AD-2CEEDA412FF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2253431</t>
        </r>
      </text>
    </comment>
    <comment ref="A11" authorId="0" shapeId="0" xr:uid="{773D4D39-303D-4F1C-81E3-99901991DB8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2253903</t>
        </r>
      </text>
    </comment>
    <comment ref="A13" authorId="0" shapeId="0" xr:uid="{252BA988-2F51-4B22-8A72-CEC864931C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2250420</t>
        </r>
      </text>
    </comment>
    <comment ref="A14" authorId="0" shapeId="0" xr:uid="{69BD5D1C-89A3-49C6-A600-AEC57D091A0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2251719</t>
        </r>
      </text>
    </comment>
    <comment ref="A15" authorId="0" shapeId="0" xr:uid="{D8284986-1CFB-4FE4-B75C-4A006150B33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2254318</t>
        </r>
      </text>
    </comment>
    <comment ref="A16" authorId="0" shapeId="0" xr:uid="{62EB344C-CBB1-4BD5-8C32-4EE16D54C71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5443AFAB-755E-4565-9AE9-662BC6C4ECE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2250421</t>
        </r>
      </text>
    </comment>
    <comment ref="A6" authorId="0" shapeId="0" xr:uid="{29B60A3F-C70F-4624-97C9-E6CC8107BEB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2250817</t>
        </r>
      </text>
    </comment>
    <comment ref="A7" authorId="0" shapeId="0" xr:uid="{0517DC18-17CB-4A7E-ABA7-9C130860189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2251720</t>
        </r>
      </text>
    </comment>
    <comment ref="A8" authorId="0" shapeId="0" xr:uid="{E4DCC75E-DB43-47D0-8035-BD27B777FA3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2252121</t>
        </r>
      </text>
    </comment>
    <comment ref="A9" authorId="0" shapeId="0" xr:uid="{4A79A524-A5DB-404F-9240-20146C574A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2252505</t>
        </r>
      </text>
    </comment>
    <comment ref="A10" authorId="0" shapeId="0" xr:uid="{64F62643-6FFC-4700-B614-1F3F11008F4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2253019</t>
        </r>
      </text>
    </comment>
    <comment ref="A11" authorId="0" shapeId="0" xr:uid="{E8846D86-F6C8-45A3-8899-035619A8B8B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2253433</t>
        </r>
      </text>
    </comment>
    <comment ref="A12" authorId="0" shapeId="0" xr:uid="{FFD65CFC-703B-4040-9FB7-209B3F98EE6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2253904</t>
        </r>
      </text>
    </comment>
    <comment ref="A13" authorId="0" shapeId="0" xr:uid="{93AC5AFA-4325-469C-91A7-3741833E99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2254319</t>
        </r>
      </text>
    </comment>
    <comment ref="A14" authorId="0" shapeId="0" xr:uid="{253CA3C6-C8A6-455D-BF4B-3439762A4B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7C35721-10C5-4409-82FE-97A4B155BF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2253426</t>
        </r>
      </text>
    </comment>
    <comment ref="A7" authorId="0" shapeId="0" xr:uid="{767D1BCA-05CF-4AF0-B020-285BB9F511F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2250410</t>
        </r>
      </text>
    </comment>
    <comment ref="A8" authorId="0" shapeId="0" xr:uid="{595A2F97-66FE-4CE7-B575-CF3E118E23A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2250825</t>
        </r>
      </text>
    </comment>
    <comment ref="A9" authorId="0" shapeId="0" xr:uid="{794C671D-CDBF-412E-82C4-0356B71A16F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2251714</t>
        </r>
      </text>
    </comment>
    <comment ref="A10" authorId="0" shapeId="0" xr:uid="{67DE85EC-9EFC-4F94-B0B8-706508012C0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2252122</t>
        </r>
      </text>
    </comment>
    <comment ref="A11" authorId="0" shapeId="0" xr:uid="{7DF8564B-3A91-44B9-A145-94C1BEE4384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2252616</t>
        </r>
      </text>
    </comment>
    <comment ref="A12" authorId="0" shapeId="0" xr:uid="{C5585C73-4889-4DC5-83E7-E8FFB56D9F4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2253020</t>
        </r>
      </text>
    </comment>
    <comment ref="A13" authorId="0" shapeId="0" xr:uid="{7DE87D3C-1DFD-41B9-B032-3162BBF0EF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2253910</t>
        </r>
      </text>
    </comment>
    <comment ref="A14" authorId="0" shapeId="0" xr:uid="{E11E5C72-31C3-4E63-A68C-BC49765150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2254312</t>
        </r>
      </text>
    </comment>
    <comment ref="A15" authorId="0" shapeId="0" xr:uid="{37F4FD36-017E-40F6-B75E-D2F0A2795B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D4A13B63-6724-450F-97C0-D2D3199FE4B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2254725</t>
        </r>
      </text>
    </comment>
    <comment ref="A7" authorId="0" shapeId="0" xr:uid="{267F7B75-AF75-4428-B3B2-1ACEC23DFF7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2250416</t>
        </r>
      </text>
    </comment>
    <comment ref="A8" authorId="0" shapeId="0" xr:uid="{3B355FE9-E5D6-4C1C-AB94-97430091B84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2250826</t>
        </r>
      </text>
    </comment>
    <comment ref="A9" authorId="0" shapeId="0" xr:uid="{C11AB423-2C49-4E85-96D2-05A775AF550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2252615</t>
        </r>
      </text>
    </comment>
    <comment ref="A10" authorId="0" shapeId="0" xr:uid="{21C3C53C-22EB-44AD-A762-F7C1E34A9FD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2253427</t>
        </r>
      </text>
    </comment>
    <comment ref="A11" authorId="0" shapeId="0" xr:uid="{88D624CE-5018-49EC-8619-8ED03EB42EE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2254314</t>
        </r>
      </text>
    </comment>
    <comment ref="A13" authorId="0" shapeId="0" xr:uid="{E8030CDA-2244-4C2E-8138-A41F212AD32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2251715</t>
        </r>
      </text>
    </comment>
    <comment ref="A17" authorId="0" shapeId="0" xr:uid="{525CA5C1-C2C5-4B50-A7E6-56715BF58E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2250819</t>
        </r>
      </text>
    </comment>
    <comment ref="A18" authorId="0" shapeId="0" xr:uid="{E8223185-E847-4D97-A500-A7223926950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2251310
</t>
        </r>
      </text>
    </comment>
    <comment ref="A19" authorId="0" shapeId="0" xr:uid="{A65B2908-C594-474C-BC41-0D21533A1C1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2251716</t>
        </r>
      </text>
    </comment>
    <comment ref="A20" authorId="0" shapeId="0" xr:uid="{D3248084-4BEA-4BD7-B248-C542AB154E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2252613</t>
        </r>
      </text>
    </comment>
    <comment ref="A21" authorId="0" shapeId="0" xr:uid="{4784D40E-CE0B-47DE-85D7-5D883755D4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2253013</t>
        </r>
      </text>
    </comment>
    <comment ref="A22" authorId="0" shapeId="0" xr:uid="{A84561BC-210B-4FF9-B279-8E33FDF11E2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2253428</t>
        </r>
      </text>
    </comment>
    <comment ref="A23" authorId="0" shapeId="0" xr:uid="{51C7A2C5-71E6-4452-A61B-5270012B371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2253908</t>
        </r>
      </text>
    </comment>
    <comment ref="A24" authorId="0" shapeId="0" xr:uid="{7403F1E9-7F0D-4E27-A619-976D5F2778D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2254315</t>
        </r>
      </text>
    </comment>
    <comment ref="A25" authorId="0" shapeId="0" xr:uid="{B838BB5D-3C03-4D2D-971A-EE87AECD40D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2254717</t>
        </r>
      </text>
    </comment>
    <comment ref="A27" authorId="0" shapeId="0" xr:uid="{BA0CE719-E598-41D6-9C7B-A33B0DDCD9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2253909</t>
        </r>
      </text>
    </comment>
    <comment ref="A29" authorId="0" shapeId="0" xr:uid="{6C615150-341C-4588-9A50-BFFEBA479E7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2250415</t>
        </r>
      </text>
    </comment>
    <comment ref="A30" authorId="0" shapeId="0" xr:uid="{86046A71-52DC-48F1-B982-D536EDEC0CA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2252123</t>
        </r>
      </text>
    </comment>
    <comment ref="A31" authorId="0" shapeId="0" xr:uid="{DB239801-9966-4175-BB2B-823651A9E5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2254313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BC12DE51-EA9B-44D3-ADFF-56D123607BB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2251715</t>
        </r>
      </text>
    </comment>
    <comment ref="A6" authorId="0" shapeId="0" xr:uid="{B8248435-8838-4D5F-8050-5E01B142E84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2252116</t>
        </r>
      </text>
    </comment>
    <comment ref="A7" authorId="0" shapeId="0" xr:uid="{2FD25F68-598B-40D8-9617-BF0E1A6CC0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2253012</t>
        </r>
      </text>
    </comment>
    <comment ref="A8" authorId="0" shapeId="0" xr:uid="{20E4C485-8799-474B-9F2B-7B2DA8194E3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2253907</t>
        </r>
      </text>
    </comment>
  </commentList>
</comments>
</file>

<file path=xl/sharedStrings.xml><?xml version="1.0" encoding="utf-8"?>
<sst xmlns="http://schemas.openxmlformats.org/spreadsheetml/2006/main" count="4671" uniqueCount="230">
  <si>
    <t>Package</t>
  </si>
  <si>
    <t>Factory</t>
  </si>
  <si>
    <t>Materials</t>
  </si>
  <si>
    <t>Preconditioning
Test Condition</t>
  </si>
  <si>
    <t>Reflow
Temp</t>
  </si>
  <si>
    <t>Delamination (%)
Before Preconditioning</t>
  </si>
  <si>
    <t>Delamination (%)
After Preconditioning</t>
  </si>
  <si>
    <t>MRT Results</t>
  </si>
  <si>
    <t>Reliability Results</t>
  </si>
  <si>
    <t>Device
Type</t>
  </si>
  <si>
    <t>L/C</t>
  </si>
  <si>
    <t>Date
Code</t>
  </si>
  <si>
    <t>Mfg
Site</t>
  </si>
  <si>
    <t>Die Size</t>
  </si>
  <si>
    <t>L/F Size</t>
  </si>
  <si>
    <t>L/F Type</t>
  </si>
  <si>
    <t>Stamp
or Etch</t>
  </si>
  <si>
    <t>Matl</t>
  </si>
  <si>
    <t>Wire</t>
  </si>
  <si>
    <t>Die
Coat</t>
  </si>
  <si>
    <t>Mold
Compound</t>
  </si>
  <si>
    <t>Die
Attach</t>
  </si>
  <si>
    <t>H/S</t>
  </si>
  <si>
    <t>Plating
Composition</t>
  </si>
  <si>
    <t>Type I</t>
  </si>
  <si>
    <t>Type II</t>
  </si>
  <si>
    <t>Type III</t>
  </si>
  <si>
    <t>Type IV</t>
  </si>
  <si>
    <t>Type V</t>
  </si>
  <si>
    <t>#</t>
  </si>
  <si>
    <t>SS</t>
  </si>
  <si>
    <t>Result</t>
  </si>
  <si>
    <t>Rel
Test</t>
  </si>
  <si>
    <t xml:space="preserve"> degC/</t>
  </si>
  <si>
    <t># of</t>
  </si>
  <si>
    <t>"hrs" or</t>
  </si>
  <si>
    <t>(mil)</t>
  </si>
  <si>
    <t>X</t>
  </si>
  <si>
    <t xml:space="preserve"> VHDLF / HDLF </t>
  </si>
  <si>
    <t>Au(mil)</t>
  </si>
  <si>
    <t>avg %</t>
  </si>
  <si>
    <t>Fail</t>
  </si>
  <si>
    <t>R.H.%</t>
  </si>
  <si>
    <t>hrs/cyc</t>
  </si>
  <si>
    <t>"cyc"</t>
  </si>
  <si>
    <t>T/C time</t>
  </si>
  <si>
    <t>T/C</t>
  </si>
  <si>
    <t>T/C fails</t>
  </si>
  <si>
    <t>T&amp;H time</t>
  </si>
  <si>
    <t>T&amp;H</t>
  </si>
  <si>
    <t>T&amp;H fails</t>
  </si>
  <si>
    <t>HTS time</t>
  </si>
  <si>
    <t>HTS</t>
  </si>
  <si>
    <t>HTS fails</t>
  </si>
  <si>
    <t>Hast time</t>
  </si>
  <si>
    <t>Hast</t>
  </si>
  <si>
    <t>Hast fails</t>
  </si>
  <si>
    <t>-</t>
  </si>
  <si>
    <t>HAST</t>
  </si>
  <si>
    <t>Average</t>
  </si>
  <si>
    <t>Test</t>
  </si>
  <si>
    <t>Unit-time</t>
  </si>
  <si>
    <t>Units</t>
  </si>
  <si>
    <t>Minimum</t>
  </si>
  <si>
    <t>MRT</t>
  </si>
  <si>
    <t>N/A</t>
  </si>
  <si>
    <t>Std.Deviation</t>
  </si>
  <si>
    <t>UCL</t>
  </si>
  <si>
    <t>Cu(mil)</t>
  </si>
  <si>
    <t>NOTE:</t>
  </si>
  <si>
    <t>Type I    : Delamination at EMC / Die Top Surface</t>
  </si>
  <si>
    <t>Type II   : Delamination at Die Attach Region</t>
  </si>
  <si>
    <t>Type III  : Delamination at EMC / Pad Top or Laminate Surface surrounding die</t>
  </si>
  <si>
    <t>Type IV : Delamination at Paddle Bottom / EMC</t>
  </si>
  <si>
    <t>Type V : Delamination at Lead Fingers / EMC</t>
  </si>
  <si>
    <t>AEC Q100 Target Grade</t>
  </si>
  <si>
    <t>C/A (W/P, B/S, Cross-section)</t>
  </si>
  <si>
    <t>PCB</t>
  </si>
  <si>
    <t>Die 
Attach</t>
  </si>
  <si>
    <t>Solder Ball
Composition</t>
  </si>
  <si>
    <t>Vndr</t>
  </si>
  <si>
    <t>Lyr/Thkn</t>
  </si>
  <si>
    <t>AECQ100 Target G</t>
  </si>
  <si>
    <t>C/A (W/P, B/S, 
Cross section)</t>
  </si>
  <si>
    <t>CABGA</t>
  </si>
  <si>
    <t>ATP3</t>
  </si>
  <si>
    <t>NANYA</t>
  </si>
  <si>
    <t>2 Layers</t>
  </si>
  <si>
    <t>HL832NX-A</t>
  </si>
  <si>
    <t>N</t>
  </si>
  <si>
    <t>SN/AG3.0/CU0.5</t>
  </si>
  <si>
    <t>30°C/60%rh/192hrs</t>
  </si>
  <si>
    <t>FCR 260C 3X</t>
  </si>
  <si>
    <t>Pass</t>
  </si>
  <si>
    <t>TC</t>
  </si>
  <si>
    <t>-55'C/+125'C</t>
  </si>
  <si>
    <t>cyc</t>
  </si>
  <si>
    <t>4 Layers</t>
  </si>
  <si>
    <t>GE100LFCS</t>
  </si>
  <si>
    <t>150'C</t>
  </si>
  <si>
    <t>hrs</t>
  </si>
  <si>
    <t>UMTC</t>
  </si>
  <si>
    <t>SN/AG4.0/CU0.5</t>
  </si>
  <si>
    <t>2025D</t>
  </si>
  <si>
    <t>130'C/85%</t>
  </si>
  <si>
    <t>KCC</t>
  </si>
  <si>
    <t>SN/AG1.0/CU0.5</t>
  </si>
  <si>
    <t>FCR 260 3X</t>
  </si>
  <si>
    <t>HL832NS</t>
  </si>
  <si>
    <t>SN63/PB37</t>
  </si>
  <si>
    <t>PBGA</t>
  </si>
  <si>
    <t>KINSUS</t>
  </si>
  <si>
    <t>SN95.5/AG4.0/CU0.5</t>
  </si>
  <si>
    <t>FCR 260'C 3X</t>
  </si>
  <si>
    <t>GE100L</t>
  </si>
  <si>
    <t>MLF</t>
  </si>
  <si>
    <t>VHDLF</t>
  </si>
  <si>
    <t>Etch</t>
  </si>
  <si>
    <t>G700</t>
  </si>
  <si>
    <t>NiPd</t>
  </si>
  <si>
    <t>-65'C/+150'C</t>
  </si>
  <si>
    <t>130'C/ 85%</t>
  </si>
  <si>
    <t>-65°C/+150°C</t>
  </si>
  <si>
    <t>G700Y</t>
  </si>
  <si>
    <t>AMK-06</t>
  </si>
  <si>
    <t>HDLF</t>
  </si>
  <si>
    <t>Matte Sn</t>
  </si>
  <si>
    <t>C194 Rc</t>
  </si>
  <si>
    <t>85°C/60%rh/168hrs</t>
  </si>
  <si>
    <t>FCR 260°C 3X</t>
  </si>
  <si>
    <t>C7025 RU-uPPF</t>
  </si>
  <si>
    <t>Body
SIZE (mm)</t>
  </si>
  <si>
    <t>SIPCA</t>
  </si>
  <si>
    <t>GE100RFC32-SF</t>
  </si>
  <si>
    <t>Cavity MEMS</t>
  </si>
  <si>
    <t>43/37</t>
  </si>
  <si>
    <t>49/41</t>
  </si>
  <si>
    <t>Cavity LF</t>
  </si>
  <si>
    <t>KYOCERA</t>
  </si>
  <si>
    <t>ATB-F125E</t>
  </si>
  <si>
    <t>SiP-Touchchip</t>
  </si>
  <si>
    <t>-40°C/+125°C</t>
  </si>
  <si>
    <t>HYSOL 4460</t>
  </si>
  <si>
    <t>FCR 220'C 3X</t>
  </si>
  <si>
    <t>KER-6230-F</t>
  </si>
  <si>
    <t>-55°C/+150°C</t>
  </si>
  <si>
    <t>MaXimum</t>
  </si>
  <si>
    <t>x</t>
  </si>
  <si>
    <t>HAESUNG</t>
  </si>
  <si>
    <t>C7025 RuPPF</t>
  </si>
  <si>
    <t>G700L-TD</t>
  </si>
  <si>
    <t>SILICONE</t>
  </si>
  <si>
    <t>BASE CHIP CARRIER</t>
  </si>
  <si>
    <t>12x12</t>
  </si>
  <si>
    <t>G770FE</t>
  </si>
  <si>
    <t>Ongoing</t>
  </si>
  <si>
    <t>2025D/X56-10HV</t>
  </si>
  <si>
    <t>GREATECH</t>
  </si>
  <si>
    <t xml:space="preserve"> </t>
  </si>
  <si>
    <t>CRM 1085A</t>
  </si>
  <si>
    <t>MLF COL</t>
  </si>
  <si>
    <t>1.8X2.5mm</t>
  </si>
  <si>
    <t>NEX130CTX-N5</t>
  </si>
  <si>
    <t>3x3 mm</t>
  </si>
  <si>
    <t>C194 RUPPF</t>
  </si>
  <si>
    <t>C7025 RC R-AG</t>
  </si>
  <si>
    <t>61/139</t>
  </si>
  <si>
    <t>71/137</t>
  </si>
  <si>
    <t>84-1 LMIS R4, SILICONE</t>
  </si>
  <si>
    <t>215/79/157/157</t>
  </si>
  <si>
    <t>198/87/87/87</t>
  </si>
  <si>
    <t>9.6x7.5</t>
  </si>
  <si>
    <t>G770</t>
  </si>
  <si>
    <t>DDEC</t>
  </si>
  <si>
    <t>ETCH</t>
  </si>
  <si>
    <t>C194 RU-UPPF</t>
  </si>
  <si>
    <t>89/45</t>
  </si>
  <si>
    <t>57/51</t>
  </si>
  <si>
    <t>7730L</t>
  </si>
  <si>
    <t>4 LAYERS</t>
  </si>
  <si>
    <t>161/165</t>
  </si>
  <si>
    <t>161/107</t>
  </si>
  <si>
    <t>GE110LS-V</t>
  </si>
  <si>
    <t>15x15 mm</t>
  </si>
  <si>
    <t>4x4mm</t>
  </si>
  <si>
    <t>GE110LS</t>
  </si>
  <si>
    <t>6x6</t>
  </si>
  <si>
    <t>QMI 536/8290</t>
  </si>
  <si>
    <t>15x31 mm</t>
  </si>
  <si>
    <t>30ºC/60%/192 hrs</t>
  </si>
  <si>
    <t>FCR 260ºC 3X</t>
  </si>
  <si>
    <t>-55'C/+150'C</t>
  </si>
  <si>
    <t>FCR 220ºC 3X</t>
  </si>
  <si>
    <t>FCR 245ºC 3X</t>
  </si>
  <si>
    <t>C7025 RUPPF</t>
  </si>
  <si>
    <t>3 x 5 mm</t>
  </si>
  <si>
    <t>12x13 mm</t>
  </si>
  <si>
    <t>6x8mm</t>
  </si>
  <si>
    <t>CAVITY MEMS</t>
  </si>
  <si>
    <t>9.60x7.50mm</t>
  </si>
  <si>
    <t>3x3mm</t>
  </si>
  <si>
    <t>4x4 mm</t>
  </si>
  <si>
    <t>C194 NI/PD</t>
  </si>
  <si>
    <t>CEL9220HF13A</t>
  </si>
  <si>
    <t>5x5mm</t>
  </si>
  <si>
    <t>7x7 mm</t>
  </si>
  <si>
    <t>C194 RC DR-AG</t>
  </si>
  <si>
    <t>2.5x4.5mm</t>
  </si>
  <si>
    <t>6X6mm</t>
  </si>
  <si>
    <t>6/139</t>
  </si>
  <si>
    <t>27x27 mm</t>
  </si>
  <si>
    <t>23x23 mm</t>
  </si>
  <si>
    <t>35x35 mm</t>
  </si>
  <si>
    <t>GE100FC2-G</t>
  </si>
  <si>
    <t>5x7 mm</t>
  </si>
  <si>
    <t>2 LAYERS</t>
  </si>
  <si>
    <t>12x12 mm</t>
  </si>
  <si>
    <t>G770X</t>
  </si>
  <si>
    <t>11x11 mm</t>
  </si>
  <si>
    <t>2.5x2.5mm</t>
  </si>
  <si>
    <t>84-3</t>
  </si>
  <si>
    <t>2.5x2 mm</t>
  </si>
  <si>
    <t>G631BQ</t>
  </si>
  <si>
    <t>17x17 mm</t>
  </si>
  <si>
    <t>23x23mm</t>
  </si>
  <si>
    <t>23x25 mm</t>
  </si>
  <si>
    <t>130'C/85%RH</t>
  </si>
  <si>
    <t>'-55'C/+125'C</t>
  </si>
  <si>
    <t>'-55'C/+150'C</t>
  </si>
  <si>
    <t>'-65°C/+150°C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</si>
</sst>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_);[Red]\(0.0\)"/>
    <numFmt numFmtId="166" formatCode="0.0"/>
  </numFmts>
  <fonts count="19">
    <font>
      <sz val="10"/>
      <color rgb="FF000000"/>
      <name val="Open Sans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name val="Open Sans"/>
      <family val="2"/>
    </font>
    <font>
      <b/>
      <sz val="6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sz val="6"/>
      <color indexed="8"/>
      <name val="Arial"/>
      <family val="2"/>
    </font>
    <font>
      <sz val="6"/>
      <color theme="1"/>
      <name val="Arial"/>
      <family val="2"/>
    </font>
    <font>
      <sz val="5"/>
      <name val="Arial"/>
      <family val="2"/>
    </font>
    <font>
      <sz val="11"/>
      <name val="µ¸¿ò"/>
      <family val="3"/>
    </font>
    <font>
      <sz val="10"/>
      <name val="MS Sans Serif"/>
      <family val="2"/>
    </font>
    <font>
      <sz val="10"/>
      <name val="Arial"/>
      <family val="2"/>
    </font>
    <font>
      <sz val="6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name val="Open Sans"/>
      <family val="2"/>
    </font>
    <font>
      <sz val="6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/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8"/>
      </top>
      <bottom style="hair">
        <color rgb="FF000000"/>
      </bottom>
      <diagonal/>
    </border>
    <border>
      <left style="hair">
        <color rgb="FF000000"/>
      </left>
      <right style="hair">
        <color indexed="8"/>
      </right>
      <top style="hair">
        <color indexed="8"/>
      </top>
      <bottom style="hair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" fillId="0" borderId="0"/>
    <xf numFmtId="0" fontId="1" fillId="0" borderId="0"/>
  </cellStyleXfs>
  <cellXfs count="458">
    <xf numFmtId="0" fontId="0" fillId="0" borderId="0" xfId="0"/>
    <xf numFmtId="0" fontId="5" fillId="0" borderId="44" xfId="0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1" fontId="5" fillId="0" borderId="45" xfId="0" applyNumberFormat="1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5" fillId="0" borderId="46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/>
    </xf>
    <xf numFmtId="1" fontId="5" fillId="0" borderId="47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56" xfId="0" applyFont="1" applyBorder="1" applyAlignment="1">
      <alignment horizontal="center" vertical="center"/>
    </xf>
    <xf numFmtId="1" fontId="5" fillId="0" borderId="57" xfId="0" applyNumberFormat="1" applyFont="1" applyBorder="1" applyAlignment="1">
      <alignment horizontal="center" vertical="center"/>
    </xf>
    <xf numFmtId="1" fontId="5" fillId="0" borderId="58" xfId="0" applyNumberFormat="1" applyFont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1" fontId="5" fillId="0" borderId="60" xfId="0" applyNumberFormat="1" applyFont="1" applyBorder="1" applyAlignment="1">
      <alignment horizontal="center" vertical="center"/>
    </xf>
    <xf numFmtId="164" fontId="5" fillId="0" borderId="61" xfId="0" applyNumberFormat="1" applyFont="1" applyBorder="1" applyAlignment="1">
      <alignment horizontal="center" vertical="center"/>
    </xf>
    <xf numFmtId="164" fontId="5" fillId="0" borderId="57" xfId="0" applyNumberFormat="1" applyFont="1" applyBorder="1" applyAlignment="1">
      <alignment horizontal="center" vertical="center"/>
    </xf>
    <xf numFmtId="164" fontId="5" fillId="0" borderId="58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1" fontId="5" fillId="0" borderId="63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164" fontId="5" fillId="0" borderId="64" xfId="0" applyNumberFormat="1" applyFont="1" applyBorder="1" applyAlignment="1">
      <alignment horizontal="center" vertical="center"/>
    </xf>
    <xf numFmtId="1" fontId="5" fillId="0" borderId="66" xfId="0" applyNumberFormat="1" applyFont="1" applyBorder="1" applyAlignment="1">
      <alignment horizontal="center" vertical="center"/>
    </xf>
    <xf numFmtId="1" fontId="5" fillId="0" borderId="67" xfId="0" applyNumberFormat="1" applyFont="1" applyBorder="1" applyAlignment="1">
      <alignment horizontal="center" vertical="center"/>
    </xf>
    <xf numFmtId="1" fontId="5" fillId="0" borderId="65" xfId="0" applyNumberFormat="1" applyFont="1" applyBorder="1" applyAlignment="1">
      <alignment horizontal="center" vertical="center"/>
    </xf>
    <xf numFmtId="1" fontId="5" fillId="0" borderId="44" xfId="0" applyNumberFormat="1" applyFont="1" applyBorder="1" applyAlignment="1">
      <alignment horizontal="center" vertical="center"/>
    </xf>
    <xf numFmtId="1" fontId="5" fillId="0" borderId="64" xfId="0" applyNumberFormat="1" applyFont="1" applyBorder="1" applyAlignment="1">
      <alignment horizontal="center" vertical="center"/>
    </xf>
    <xf numFmtId="1" fontId="5" fillId="0" borderId="56" xfId="0" applyNumberFormat="1" applyFont="1" applyBorder="1" applyAlignment="1">
      <alignment horizontal="center" vertical="center"/>
    </xf>
    <xf numFmtId="1" fontId="5" fillId="0" borderId="48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65" fontId="4" fillId="0" borderId="47" xfId="0" applyNumberFormat="1" applyFont="1" applyBorder="1" applyAlignment="1">
      <alignment horizontal="center" vertical="center"/>
    </xf>
    <xf numFmtId="164" fontId="5" fillId="0" borderId="76" xfId="0" applyNumberFormat="1" applyFont="1" applyBorder="1" applyAlignment="1">
      <alignment horizontal="center" vertical="center"/>
    </xf>
    <xf numFmtId="164" fontId="5" fillId="0" borderId="78" xfId="0" applyNumberFormat="1" applyFont="1" applyBorder="1" applyAlignment="1">
      <alignment horizontal="center" vertical="center"/>
    </xf>
    <xf numFmtId="1" fontId="7" fillId="0" borderId="84" xfId="0" applyNumberFormat="1" applyFont="1" applyBorder="1" applyAlignment="1">
      <alignment horizontal="center" vertical="center"/>
    </xf>
    <xf numFmtId="1" fontId="5" fillId="0" borderId="76" xfId="0" applyNumberFormat="1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1" fontId="5" fillId="0" borderId="88" xfId="0" applyNumberFormat="1" applyFont="1" applyBorder="1" applyAlignment="1">
      <alignment horizontal="center" vertical="center"/>
    </xf>
    <xf numFmtId="1" fontId="5" fillId="0" borderId="89" xfId="0" applyNumberFormat="1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64" fontId="5" fillId="0" borderId="93" xfId="0" applyNumberFormat="1" applyFont="1" applyBorder="1" applyAlignment="1">
      <alignment horizontal="center" vertical="center"/>
    </xf>
    <xf numFmtId="1" fontId="5" fillId="0" borderId="93" xfId="0" applyNumberFormat="1" applyFont="1" applyBorder="1" applyAlignment="1">
      <alignment horizontal="center" vertical="center"/>
    </xf>
    <xf numFmtId="1" fontId="4" fillId="0" borderId="92" xfId="0" applyNumberFormat="1" applyFont="1" applyBorder="1" applyAlignment="1">
      <alignment horizontal="center" vertical="center" wrapText="1"/>
    </xf>
    <xf numFmtId="2" fontId="5" fillId="0" borderId="23" xfId="0" applyNumberFormat="1" applyFont="1" applyBorder="1" applyAlignment="1">
      <alignment horizontal="center" vertical="center"/>
    </xf>
    <xf numFmtId="2" fontId="5" fillId="0" borderId="57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5" fillId="0" borderId="68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5" fillId="0" borderId="40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 vertical="center"/>
    </xf>
    <xf numFmtId="1" fontId="5" fillId="0" borderId="94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1" fontId="5" fillId="0" borderId="61" xfId="0" applyNumberFormat="1" applyFont="1" applyBorder="1" applyAlignment="1">
      <alignment horizontal="center" vertical="center"/>
    </xf>
    <xf numFmtId="1" fontId="5" fillId="0" borderId="96" xfId="0" applyNumberFormat="1" applyFont="1" applyBorder="1" applyAlignment="1">
      <alignment horizontal="center" vertical="center"/>
    </xf>
    <xf numFmtId="1" fontId="5" fillId="0" borderId="97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5" fillId="0" borderId="102" xfId="0" applyNumberFormat="1" applyFont="1" applyBorder="1" applyAlignment="1">
      <alignment horizontal="center" vertical="center"/>
    </xf>
    <xf numFmtId="1" fontId="5" fillId="0" borderId="95" xfId="0" applyNumberFormat="1" applyFont="1" applyBorder="1" applyAlignment="1">
      <alignment vertical="center"/>
    </xf>
    <xf numFmtId="1" fontId="5" fillId="0" borderId="98" xfId="0" applyNumberFormat="1" applyFont="1" applyBorder="1" applyAlignment="1">
      <alignment vertical="center"/>
    </xf>
    <xf numFmtId="1" fontId="5" fillId="0" borderId="100" xfId="0" applyNumberFormat="1" applyFont="1" applyBorder="1" applyAlignment="1">
      <alignment vertical="center"/>
    </xf>
    <xf numFmtId="165" fontId="5" fillId="0" borderId="23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1" fontId="4" fillId="0" borderId="37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5" fillId="0" borderId="69" xfId="0" applyNumberFormat="1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5" fontId="5" fillId="0" borderId="5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95" xfId="0" applyNumberFormat="1" applyFont="1" applyBorder="1" applyAlignment="1">
      <alignment horizontal="center" vertical="center"/>
    </xf>
    <xf numFmtId="1" fontId="5" fillId="0" borderId="98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2" borderId="45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1" fontId="5" fillId="2" borderId="46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1" fontId="5" fillId="2" borderId="22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69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65" fontId="5" fillId="2" borderId="23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6" fontId="4" fillId="0" borderId="47" xfId="0" applyNumberFormat="1" applyFont="1" applyBorder="1" applyAlignment="1">
      <alignment horizontal="center" vertical="center"/>
    </xf>
    <xf numFmtId="166" fontId="4" fillId="0" borderId="34" xfId="0" applyNumberFormat="1" applyFont="1" applyBorder="1" applyAlignment="1">
      <alignment horizontal="center" vertical="center"/>
    </xf>
    <xf numFmtId="166" fontId="5" fillId="0" borderId="57" xfId="0" applyNumberFormat="1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5" fillId="0" borderId="65" xfId="0" applyNumberFormat="1" applyFont="1" applyBorder="1" applyAlignment="1">
      <alignment vertical="center"/>
    </xf>
    <xf numFmtId="1" fontId="5" fillId="0" borderId="44" xfId="0" applyNumberFormat="1" applyFont="1" applyBorder="1" applyAlignment="1">
      <alignment vertical="center"/>
    </xf>
    <xf numFmtId="1" fontId="5" fillId="0" borderId="56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" fontId="4" fillId="0" borderId="0" xfId="0" applyNumberFormat="1" applyFont="1"/>
    <xf numFmtId="1" fontId="5" fillId="0" borderId="68" xfId="0" applyNumberFormat="1" applyFont="1" applyBorder="1" applyAlignment="1">
      <alignment horizontal="center"/>
    </xf>
    <xf numFmtId="1" fontId="5" fillId="0" borderId="44" xfId="0" applyNumberFormat="1" applyFont="1" applyBorder="1" applyAlignment="1">
      <alignment horizontal="center"/>
    </xf>
    <xf numFmtId="1" fontId="5" fillId="0" borderId="69" xfId="0" applyNumberFormat="1" applyFont="1" applyBorder="1" applyAlignment="1">
      <alignment horizontal="center"/>
    </xf>
    <xf numFmtId="1" fontId="5" fillId="0" borderId="40" xfId="0" applyNumberFormat="1" applyFont="1" applyBorder="1"/>
    <xf numFmtId="1" fontId="5" fillId="0" borderId="4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left"/>
    </xf>
    <xf numFmtId="0" fontId="5" fillId="0" borderId="21" xfId="0" quotePrefix="1" applyFont="1" applyBorder="1" applyAlignment="1">
      <alignment horizontal="center" vertical="center"/>
    </xf>
    <xf numFmtId="0" fontId="5" fillId="0" borderId="23" xfId="0" quotePrefix="1" applyFont="1" applyBorder="1" applyAlignment="1">
      <alignment horizontal="center" vertical="center"/>
    </xf>
    <xf numFmtId="1" fontId="5" fillId="0" borderId="57" xfId="0" applyNumberFormat="1" applyFont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65" fontId="5" fillId="2" borderId="10" xfId="0" applyNumberFormat="1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8" fillId="2" borderId="80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1" fontId="5" fillId="2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164" fontId="5" fillId="2" borderId="76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vertical="center"/>
    </xf>
    <xf numFmtId="166" fontId="5" fillId="2" borderId="22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166" fontId="5" fillId="2" borderId="16" xfId="0" applyNumberFormat="1" applyFont="1" applyFill="1" applyBorder="1" applyAlignment="1">
      <alignment horizontal="center" vertical="center"/>
    </xf>
    <xf numFmtId="1" fontId="9" fillId="2" borderId="52" xfId="0" applyNumberFormat="1" applyFont="1" applyFill="1" applyBorder="1" applyAlignment="1">
      <alignment horizontal="center" vertical="center"/>
    </xf>
    <xf numFmtId="1" fontId="9" fillId="2" borderId="50" xfId="0" applyNumberFormat="1" applyFont="1" applyFill="1" applyBorder="1" applyAlignment="1">
      <alignment horizontal="center" vertical="center"/>
    </xf>
    <xf numFmtId="1" fontId="9" fillId="2" borderId="77" xfId="0" applyNumberFormat="1" applyFont="1" applyFill="1" applyBorder="1" applyAlignment="1">
      <alignment horizontal="center" vertical="center"/>
    </xf>
    <xf numFmtId="1" fontId="9" fillId="2" borderId="90" xfId="0" applyNumberFormat="1" applyFont="1" applyFill="1" applyBorder="1" applyAlignment="1">
      <alignment horizontal="center" vertical="center"/>
    </xf>
    <xf numFmtId="1" fontId="9" fillId="2" borderId="51" xfId="0" applyNumberFormat="1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1" fontId="8" fillId="2" borderId="50" xfId="0" applyNumberFormat="1" applyFont="1" applyFill="1" applyBorder="1" applyAlignment="1">
      <alignment horizontal="center" vertical="center"/>
    </xf>
    <xf numFmtId="1" fontId="8" fillId="2" borderId="55" xfId="0" applyNumberFormat="1" applyFont="1" applyFill="1" applyBorder="1" applyAlignment="1">
      <alignment horizontal="center" vertical="center"/>
    </xf>
    <xf numFmtId="1" fontId="5" fillId="2" borderId="76" xfId="0" applyNumberFormat="1" applyFont="1" applyFill="1" applyBorder="1" applyAlignment="1">
      <alignment horizontal="center" vertical="center"/>
    </xf>
    <xf numFmtId="1" fontId="5" fillId="2" borderId="89" xfId="0" applyNumberFormat="1" applyFont="1" applyFill="1" applyBorder="1" applyAlignment="1">
      <alignment horizontal="center" vertical="center"/>
    </xf>
    <xf numFmtId="164" fontId="5" fillId="2" borderId="47" xfId="0" applyNumberFormat="1" applyFont="1" applyFill="1" applyBorder="1" applyAlignment="1">
      <alignment horizontal="center" vertical="center"/>
    </xf>
    <xf numFmtId="1" fontId="5" fillId="2" borderId="47" xfId="0" applyNumberFormat="1" applyFont="1" applyFill="1" applyBorder="1" applyAlignment="1">
      <alignment horizontal="center" vertical="center"/>
    </xf>
    <xf numFmtId="164" fontId="5" fillId="2" borderId="48" xfId="0" applyNumberFormat="1" applyFont="1" applyFill="1" applyBorder="1" applyAlignment="1">
      <alignment horizontal="center" vertical="center"/>
    </xf>
    <xf numFmtId="1" fontId="5" fillId="2" borderId="48" xfId="0" applyNumberFormat="1" applyFont="1" applyFill="1" applyBorder="1" applyAlignment="1">
      <alignment horizontal="center" vertical="center"/>
    </xf>
    <xf numFmtId="164" fontId="5" fillId="2" borderId="93" xfId="0" applyNumberFormat="1" applyFont="1" applyFill="1" applyBorder="1" applyAlignment="1">
      <alignment horizontal="center" vertical="center"/>
    </xf>
    <xf numFmtId="1" fontId="5" fillId="2" borderId="69" xfId="0" applyNumberFormat="1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93" xfId="0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horizontal="center" vertical="center"/>
    </xf>
    <xf numFmtId="0" fontId="5" fillId="2" borderId="27" xfId="0" quotePrefix="1" applyFont="1" applyFill="1" applyBorder="1" applyAlignment="1">
      <alignment horizontal="center" vertical="center"/>
    </xf>
    <xf numFmtId="0" fontId="5" fillId="2" borderId="16" xfId="0" quotePrefix="1" applyFont="1" applyFill="1" applyBorder="1" applyAlignment="1">
      <alignment horizontal="center" vertical="center"/>
    </xf>
    <xf numFmtId="2" fontId="5" fillId="2" borderId="22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166" fontId="5" fillId="2" borderId="23" xfId="0" quotePrefix="1" applyNumberFormat="1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" fontId="9" fillId="0" borderId="52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 vertical="center"/>
    </xf>
    <xf numFmtId="1" fontId="9" fillId="0" borderId="77" xfId="0" applyNumberFormat="1" applyFont="1" applyBorder="1" applyAlignment="1">
      <alignment horizontal="center" vertical="center"/>
    </xf>
    <xf numFmtId="1" fontId="9" fillId="0" borderId="90" xfId="0" applyNumberFormat="1" applyFont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8" fillId="0" borderId="50" xfId="0" applyNumberFormat="1" applyFont="1" applyBorder="1" applyAlignment="1">
      <alignment horizontal="center" vertical="center"/>
    </xf>
    <xf numFmtId="1" fontId="8" fillId="0" borderId="55" xfId="0" applyNumberFormat="1" applyFont="1" applyBorder="1" applyAlignment="1">
      <alignment horizontal="center" vertical="center"/>
    </xf>
    <xf numFmtId="166" fontId="5" fillId="0" borderId="23" xfId="0" quotePrefix="1" applyNumberFormat="1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9" fillId="0" borderId="103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" fontId="5" fillId="0" borderId="23" xfId="0" quotePrefix="1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17" fillId="0" borderId="20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166" fontId="5" fillId="0" borderId="22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0" fontId="3" fillId="0" borderId="62" xfId="0" applyFont="1" applyBorder="1"/>
    <xf numFmtId="0" fontId="3" fillId="0" borderId="61" xfId="0" applyFont="1" applyBorder="1"/>
    <xf numFmtId="0" fontId="4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2" fontId="4" fillId="0" borderId="47" xfId="0" applyNumberFormat="1" applyFont="1" applyBorder="1" applyAlignment="1">
      <alignment horizontal="center" vertical="center"/>
    </xf>
    <xf numFmtId="2" fontId="4" fillId="0" borderId="34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5" fillId="0" borderId="27" xfId="0" quotePrefix="1" applyNumberFormat="1" applyFont="1" applyBorder="1" applyAlignment="1">
      <alignment horizontal="center" vertical="center"/>
    </xf>
    <xf numFmtId="164" fontId="5" fillId="0" borderId="16" xfId="0" quotePrefix="1" applyNumberFormat="1" applyFont="1" applyBorder="1" applyAlignment="1">
      <alignment horizontal="center" vertical="center"/>
    </xf>
    <xf numFmtId="0" fontId="5" fillId="0" borderId="27" xfId="0" quotePrefix="1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" fontId="2" fillId="0" borderId="8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" fontId="4" fillId="0" borderId="92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70" xfId="0" applyNumberFormat="1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1" fontId="5" fillId="0" borderId="87" xfId="0" applyNumberFormat="1" applyFont="1" applyBorder="1" applyAlignment="1">
      <alignment horizontal="center" vertical="center"/>
    </xf>
    <xf numFmtId="1" fontId="4" fillId="0" borderId="73" xfId="0" applyNumberFormat="1" applyFont="1" applyBorder="1" applyAlignment="1">
      <alignment horizontal="center" vertical="center" wrapText="1"/>
    </xf>
    <xf numFmtId="1" fontId="4" fillId="0" borderId="74" xfId="0" applyNumberFormat="1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8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3" fillId="0" borderId="7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1" xfId="0" applyFont="1" applyBorder="1"/>
    <xf numFmtId="1" fontId="4" fillId="0" borderId="16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1" fontId="4" fillId="0" borderId="2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" fontId="5" fillId="0" borderId="20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0" fillId="0" borderId="0" xfId="0"/>
    <xf numFmtId="0" fontId="3" fillId="0" borderId="36" xfId="0" applyFont="1" applyBorder="1"/>
    <xf numFmtId="0" fontId="3" fillId="0" borderId="37" xfId="0" applyFont="1" applyBorder="1"/>
    <xf numFmtId="0" fontId="3" fillId="0" borderId="43" xfId="0" applyFont="1" applyBorder="1"/>
    <xf numFmtId="0" fontId="3" fillId="0" borderId="21" xfId="0" applyFont="1" applyBorder="1"/>
    <xf numFmtId="0" fontId="3" fillId="0" borderId="25" xfId="0" applyFont="1" applyBorder="1"/>
    <xf numFmtId="0" fontId="3" fillId="0" borderId="30" xfId="0" applyFont="1" applyBorder="1"/>
    <xf numFmtId="0" fontId="3" fillId="0" borderId="38" xfId="0" applyFont="1" applyBorder="1"/>
    <xf numFmtId="0" fontId="3" fillId="0" borderId="42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7" xfId="0" applyFont="1" applyBorder="1"/>
    <xf numFmtId="0" fontId="3" fillId="0" borderId="14" xfId="0" applyFont="1" applyBorder="1"/>
    <xf numFmtId="0" fontId="3" fillId="0" borderId="29" xfId="0" applyFont="1" applyBorder="1"/>
    <xf numFmtId="0" fontId="3" fillId="0" borderId="32" xfId="0" applyFont="1" applyBorder="1"/>
    <xf numFmtId="0" fontId="3" fillId="0" borderId="20" xfId="0" applyFont="1" applyBorder="1"/>
    <xf numFmtId="0" fontId="3" fillId="0" borderId="8" xfId="0" applyFont="1" applyBorder="1"/>
    <xf numFmtId="0" fontId="3" fillId="0" borderId="13" xfId="0" applyFont="1" applyBorder="1"/>
    <xf numFmtId="0" fontId="3" fillId="0" borderId="39" xfId="0" applyFont="1" applyBorder="1"/>
    <xf numFmtId="0" fontId="3" fillId="0" borderId="40" xfId="0" applyFont="1" applyBorder="1"/>
    <xf numFmtId="0" fontId="5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" fontId="5" fillId="2" borderId="23" xfId="0" quotePrefix="1" applyNumberFormat="1" applyFont="1" applyFill="1" applyBorder="1" applyAlignment="1">
      <alignment horizontal="center" vertical="center"/>
    </xf>
  </cellXfs>
  <cellStyles count="7">
    <cellStyle name="??&amp;_x0012_?&amp;_x000b_?_x0008_??_x0007__x0001__x0001_" xfId="1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ormal 4" xfId="5" xr:uid="{00000000-0005-0000-0000-000004000000}"/>
    <cellStyle name="Normal 4 2" xfId="6" xr:uid="{00000000-0005-0000-0000-000005000000}"/>
    <cellStyle name="一般_ATT-Rel Monitor" xfId="3" xr:uid="{00000000-0005-0000-0000-000006000000}"/>
  </cellStyles>
  <dxfs count="97"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3"/>
  <sheetViews>
    <sheetView showGridLines="0" tabSelected="1" zoomScale="140" zoomScaleNormal="140" workbookViewId="0">
      <pane xSplit="5" ySplit="4" topLeftCell="R5" activePane="bottomRight" state="frozen"/>
      <selection activeCell="Q21" sqref="A21:XFD21"/>
      <selection pane="topRight" activeCell="Q21" sqref="A21:XFD21"/>
      <selection pane="bottomLeft" activeCell="Q21" sqref="A21:XFD21"/>
      <selection pane="bottomRight" activeCell="V19" sqref="V19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5.26953125" style="109" customWidth="1"/>
    <col min="7" max="7" width="1.54296875" style="109" customWidth="1"/>
    <col min="8" max="8" width="5.26953125" style="109" customWidth="1"/>
    <col min="9" max="9" width="6" style="109" customWidth="1"/>
    <col min="10" max="10" width="5.7265625" style="109" customWidth="1"/>
    <col min="11" max="11" width="9.54296875" style="109" customWidth="1"/>
    <col min="12" max="12" width="4.453125" style="109" customWidth="1"/>
    <col min="13" max="13" width="4.26953125" style="109" customWidth="1"/>
    <col min="14" max="14" width="9.1796875" style="109" customWidth="1"/>
    <col min="15" max="15" width="6.81640625" style="109" customWidth="1"/>
    <col min="16" max="16" width="14.81640625" style="109" customWidth="1"/>
    <col min="17" max="17" width="11" style="109" customWidth="1"/>
    <col min="18" max="18" width="8.54296875" style="109" customWidth="1"/>
    <col min="19" max="26" width="2.7265625" style="109" customWidth="1"/>
    <col min="27" max="28" width="2.7265625" style="109" hidden="1" customWidth="1"/>
    <col min="29" max="36" width="2.7265625" style="109" customWidth="1"/>
    <col min="37" max="38" width="2.7265625" style="109" hidden="1" customWidth="1"/>
    <col min="39" max="40" width="2.7265625" style="109" customWidth="1"/>
    <col min="41" max="41" width="5.54296875" style="109" customWidth="1"/>
    <col min="42" max="42" width="5" style="109" customWidth="1"/>
    <col min="43" max="43" width="7.54296875" style="109" customWidth="1"/>
    <col min="44" max="45" width="4.54296875" style="109" customWidth="1"/>
    <col min="46" max="46" width="2.7265625" style="109" customWidth="1"/>
    <col min="47" max="47" width="3" style="109" customWidth="1"/>
    <col min="48" max="48" width="1.26953125" style="109" customWidth="1"/>
    <col min="49" max="49" width="6.54296875" style="109" customWidth="1"/>
    <col min="50" max="50" width="3.7265625" style="109" customWidth="1"/>
    <col min="51" max="51" width="5.54296875" style="109" customWidth="1"/>
    <col min="52" max="54" width="2.81640625" style="109" hidden="1" customWidth="1"/>
    <col min="55" max="55" width="6.54296875" style="109" customWidth="1"/>
    <col min="56" max="56" width="4.26953125" style="109" customWidth="1"/>
    <col min="57" max="57" width="5.7265625" style="109" customWidth="1"/>
    <col min="58" max="58" width="6.7265625" style="109" customWidth="1"/>
    <col min="59" max="59" width="4.26953125" style="109" customWidth="1"/>
    <col min="60" max="60" width="6" style="109" customWidth="1"/>
    <col min="61" max="70" width="9.1796875" style="109" customWidth="1"/>
    <col min="71" max="16384" width="14.453125" style="109"/>
  </cols>
  <sheetData>
    <row r="1" spans="1:60" ht="10.5" customHeight="1">
      <c r="A1" s="322" t="s">
        <v>0</v>
      </c>
      <c r="B1" s="297"/>
      <c r="C1" s="298"/>
      <c r="D1" s="324" t="s">
        <v>1</v>
      </c>
      <c r="E1" s="298"/>
      <c r="F1" s="325" t="s">
        <v>2</v>
      </c>
      <c r="G1" s="326"/>
      <c r="H1" s="326"/>
      <c r="I1" s="326"/>
      <c r="J1" s="326"/>
      <c r="K1" s="326"/>
      <c r="L1" s="326"/>
      <c r="M1" s="326"/>
      <c r="N1" s="326"/>
      <c r="O1" s="326"/>
      <c r="P1" s="327"/>
      <c r="Q1" s="328" t="s">
        <v>3</v>
      </c>
      <c r="R1" s="331" t="s">
        <v>4</v>
      </c>
      <c r="S1" s="334" t="s">
        <v>5</v>
      </c>
      <c r="T1" s="297"/>
      <c r="U1" s="297"/>
      <c r="V1" s="297"/>
      <c r="W1" s="297"/>
      <c r="X1" s="297"/>
      <c r="Y1" s="297"/>
      <c r="Z1" s="297"/>
      <c r="AA1" s="297"/>
      <c r="AB1" s="335"/>
      <c r="AC1" s="296" t="s">
        <v>6</v>
      </c>
      <c r="AD1" s="297"/>
      <c r="AE1" s="297"/>
      <c r="AF1" s="297"/>
      <c r="AG1" s="297"/>
      <c r="AH1" s="297"/>
      <c r="AI1" s="297"/>
      <c r="AJ1" s="297"/>
      <c r="AK1" s="297"/>
      <c r="AL1" s="298"/>
      <c r="AM1" s="302" t="s">
        <v>7</v>
      </c>
      <c r="AN1" s="297"/>
      <c r="AO1" s="303"/>
      <c r="AP1" s="306" t="s">
        <v>8</v>
      </c>
      <c r="AQ1" s="297"/>
      <c r="AR1" s="297"/>
      <c r="AS1" s="297"/>
      <c r="AT1" s="297"/>
      <c r="AU1" s="307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23"/>
      <c r="B2" s="300"/>
      <c r="C2" s="301"/>
      <c r="D2" s="304"/>
      <c r="E2" s="301"/>
      <c r="F2" s="304"/>
      <c r="G2" s="300"/>
      <c r="H2" s="300"/>
      <c r="I2" s="300"/>
      <c r="J2" s="300"/>
      <c r="K2" s="300"/>
      <c r="L2" s="300"/>
      <c r="M2" s="300"/>
      <c r="N2" s="300"/>
      <c r="O2" s="300"/>
      <c r="P2" s="305"/>
      <c r="Q2" s="329"/>
      <c r="R2" s="332"/>
      <c r="S2" s="304"/>
      <c r="T2" s="300"/>
      <c r="U2" s="300"/>
      <c r="V2" s="300"/>
      <c r="W2" s="300"/>
      <c r="X2" s="300"/>
      <c r="Y2" s="300"/>
      <c r="Z2" s="300"/>
      <c r="AA2" s="300"/>
      <c r="AB2" s="336"/>
      <c r="AC2" s="299"/>
      <c r="AD2" s="300"/>
      <c r="AE2" s="300"/>
      <c r="AF2" s="300"/>
      <c r="AG2" s="300"/>
      <c r="AH2" s="300"/>
      <c r="AI2" s="300"/>
      <c r="AJ2" s="300"/>
      <c r="AK2" s="300"/>
      <c r="AL2" s="301"/>
      <c r="AM2" s="304"/>
      <c r="AN2" s="300"/>
      <c r="AO2" s="305"/>
      <c r="AP2" s="300"/>
      <c r="AQ2" s="300"/>
      <c r="AR2" s="300"/>
      <c r="AS2" s="300"/>
      <c r="AT2" s="300"/>
      <c r="AU2" s="308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19"/>
      <c r="H3" s="320"/>
      <c r="I3" s="321" t="s">
        <v>77</v>
      </c>
      <c r="J3" s="319"/>
      <c r="K3" s="320"/>
      <c r="L3" s="55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29"/>
      <c r="R3" s="332"/>
      <c r="S3" s="339" t="s">
        <v>24</v>
      </c>
      <c r="T3" s="320"/>
      <c r="U3" s="338" t="s">
        <v>25</v>
      </c>
      <c r="V3" s="320"/>
      <c r="W3" s="338" t="s">
        <v>26</v>
      </c>
      <c r="X3" s="320"/>
      <c r="Y3" s="338" t="s">
        <v>27</v>
      </c>
      <c r="Z3" s="320"/>
      <c r="AA3" s="338" t="s">
        <v>28</v>
      </c>
      <c r="AB3" s="340"/>
      <c r="AC3" s="341" t="s">
        <v>24</v>
      </c>
      <c r="AD3" s="320"/>
      <c r="AE3" s="338" t="s">
        <v>25</v>
      </c>
      <c r="AF3" s="320"/>
      <c r="AG3" s="338" t="s">
        <v>26</v>
      </c>
      <c r="AH3" s="320"/>
      <c r="AI3" s="338" t="s">
        <v>27</v>
      </c>
      <c r="AJ3" s="320"/>
      <c r="AK3" s="338" t="s">
        <v>28</v>
      </c>
      <c r="AL3" s="320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10"/>
      <c r="B4" s="312"/>
      <c r="C4" s="314"/>
      <c r="D4" s="316"/>
      <c r="E4" s="314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23" t="s">
        <v>39</v>
      </c>
      <c r="M4" s="312"/>
      <c r="N4" s="312"/>
      <c r="O4" s="312"/>
      <c r="P4" s="344"/>
      <c r="Q4" s="330"/>
      <c r="R4" s="333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12"/>
      <c r="AO4" s="351"/>
      <c r="AP4" s="346"/>
      <c r="AQ4" s="28" t="s">
        <v>42</v>
      </c>
      <c r="AR4" s="28" t="s">
        <v>43</v>
      </c>
      <c r="AS4" s="28" t="s">
        <v>44</v>
      </c>
      <c r="AT4" s="28" t="s">
        <v>41</v>
      </c>
      <c r="AU4" s="348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ht="8.25" customHeight="1">
      <c r="A5" s="220" t="s">
        <v>84</v>
      </c>
      <c r="B5" s="221">
        <v>14</v>
      </c>
      <c r="C5" s="222" t="s">
        <v>195</v>
      </c>
      <c r="D5" s="223">
        <v>2504</v>
      </c>
      <c r="E5" s="4" t="s">
        <v>85</v>
      </c>
      <c r="F5" s="221" t="s">
        <v>176</v>
      </c>
      <c r="G5" s="224" t="s">
        <v>147</v>
      </c>
      <c r="H5" s="221" t="s">
        <v>177</v>
      </c>
      <c r="I5" s="221" t="s">
        <v>111</v>
      </c>
      <c r="J5" s="224" t="s">
        <v>87</v>
      </c>
      <c r="K5" s="221" t="s">
        <v>88</v>
      </c>
      <c r="L5" s="225">
        <v>1</v>
      </c>
      <c r="M5" s="226" t="s">
        <v>89</v>
      </c>
      <c r="N5" s="227" t="s">
        <v>172</v>
      </c>
      <c r="O5" s="221">
        <v>2300</v>
      </c>
      <c r="P5" s="228" t="s">
        <v>89</v>
      </c>
      <c r="Q5" s="229" t="s">
        <v>91</v>
      </c>
      <c r="R5" s="230" t="s">
        <v>92</v>
      </c>
      <c r="S5" s="231">
        <v>0</v>
      </c>
      <c r="T5" s="232">
        <v>0</v>
      </c>
      <c r="U5" s="232">
        <v>0</v>
      </c>
      <c r="V5" s="232">
        <v>0</v>
      </c>
      <c r="W5" s="232">
        <v>0</v>
      </c>
      <c r="X5" s="232">
        <v>0</v>
      </c>
      <c r="Y5" s="232">
        <v>0</v>
      </c>
      <c r="Z5" s="232">
        <v>0</v>
      </c>
      <c r="AA5" s="232" t="s">
        <v>57</v>
      </c>
      <c r="AB5" s="233" t="s">
        <v>57</v>
      </c>
      <c r="AC5" s="234">
        <v>0</v>
      </c>
      <c r="AD5" s="232">
        <v>0</v>
      </c>
      <c r="AE5" s="232">
        <v>0</v>
      </c>
      <c r="AF5" s="232">
        <v>0</v>
      </c>
      <c r="AG5" s="232">
        <v>0</v>
      </c>
      <c r="AH5" s="232">
        <v>0</v>
      </c>
      <c r="AI5" s="232">
        <v>0</v>
      </c>
      <c r="AJ5" s="232">
        <v>0</v>
      </c>
      <c r="AK5" s="232" t="s">
        <v>57</v>
      </c>
      <c r="AL5" s="235" t="s">
        <v>57</v>
      </c>
      <c r="AM5" s="236">
        <v>0</v>
      </c>
      <c r="AN5" s="237">
        <v>22</v>
      </c>
      <c r="AO5" s="238" t="s">
        <v>93</v>
      </c>
      <c r="AP5" s="223" t="s">
        <v>52</v>
      </c>
      <c r="AQ5" s="239" t="s">
        <v>99</v>
      </c>
      <c r="AR5" s="239">
        <v>1000</v>
      </c>
      <c r="AS5" s="239" t="s">
        <v>100</v>
      </c>
      <c r="AT5" s="239">
        <v>0</v>
      </c>
      <c r="AU5" s="240">
        <v>22</v>
      </c>
      <c r="AV5" s="18"/>
      <c r="AW5" s="18" t="str">
        <f t="shared" ref="AW5:AW50" si="0">IF(AND($AP5="TC",NOT(ISBLANK($AT5))),$AU5*$AR5,"")</f>
        <v/>
      </c>
      <c r="AX5" s="18" t="str">
        <f t="shared" ref="AX5:AX50" si="1">IF(AND($AP5="TC",NOT(ISBLANK($AT5))),$AU5,"")</f>
        <v/>
      </c>
      <c r="AY5" s="18"/>
      <c r="AZ5" s="18"/>
      <c r="BA5" s="18"/>
      <c r="BB5" s="18"/>
      <c r="BC5" s="18">
        <f t="shared" ref="BC5:BC50" si="2">IF(AND($AP5="HTS",NOT(ISBLANK($AT5))),$AU5*$AR5,"")</f>
        <v>22000</v>
      </c>
      <c r="BD5" s="18">
        <f t="shared" ref="BD5:BD50" si="3">IF(AND($AP5="HTS",NOT(ISBLANK($AT5))),$AU5,"")</f>
        <v>22</v>
      </c>
      <c r="BE5" s="18"/>
      <c r="BF5" s="18" t="str">
        <f t="shared" ref="BF5:BF50" si="4">IF(AND($AP5="HAST",NOT(ISBLANK($AT5))),$AU5*$AR5,"")</f>
        <v/>
      </c>
      <c r="BG5" s="18" t="str">
        <f t="shared" ref="BG5:BG50" si="5">IF(AND($AP5="HAST",NOT(ISBLANK($AT5))),$AU5,"")</f>
        <v/>
      </c>
      <c r="BH5" s="18"/>
    </row>
    <row r="6" spans="1:60" ht="8.25" customHeight="1">
      <c r="A6" s="220" t="s">
        <v>84</v>
      </c>
      <c r="B6" s="221">
        <v>14</v>
      </c>
      <c r="C6" s="222" t="s">
        <v>195</v>
      </c>
      <c r="D6" s="223">
        <v>2508</v>
      </c>
      <c r="E6" s="4" t="s">
        <v>85</v>
      </c>
      <c r="F6" s="221" t="s">
        <v>176</v>
      </c>
      <c r="G6" s="224" t="s">
        <v>147</v>
      </c>
      <c r="H6" s="221" t="s">
        <v>177</v>
      </c>
      <c r="I6" s="221" t="s">
        <v>111</v>
      </c>
      <c r="J6" s="224" t="s">
        <v>87</v>
      </c>
      <c r="K6" s="221" t="s">
        <v>88</v>
      </c>
      <c r="L6" s="225">
        <v>1</v>
      </c>
      <c r="M6" s="226" t="s">
        <v>89</v>
      </c>
      <c r="N6" s="227" t="s">
        <v>172</v>
      </c>
      <c r="O6" s="221">
        <v>2300</v>
      </c>
      <c r="P6" s="228" t="s">
        <v>89</v>
      </c>
      <c r="Q6" s="229" t="s">
        <v>91</v>
      </c>
      <c r="R6" s="230" t="s">
        <v>92</v>
      </c>
      <c r="S6" s="231">
        <v>0</v>
      </c>
      <c r="T6" s="232">
        <v>0</v>
      </c>
      <c r="U6" s="232">
        <v>0</v>
      </c>
      <c r="V6" s="232">
        <v>0</v>
      </c>
      <c r="W6" s="232">
        <v>0</v>
      </c>
      <c r="X6" s="232">
        <v>0</v>
      </c>
      <c r="Y6" s="232">
        <v>0</v>
      </c>
      <c r="Z6" s="232">
        <v>0</v>
      </c>
      <c r="AA6" s="232" t="s">
        <v>57</v>
      </c>
      <c r="AB6" s="233" t="s">
        <v>57</v>
      </c>
      <c r="AC6" s="234">
        <v>0</v>
      </c>
      <c r="AD6" s="232">
        <v>0</v>
      </c>
      <c r="AE6" s="232">
        <v>0</v>
      </c>
      <c r="AF6" s="232">
        <v>0</v>
      </c>
      <c r="AG6" s="232">
        <v>0</v>
      </c>
      <c r="AH6" s="232">
        <v>0</v>
      </c>
      <c r="AI6" s="232">
        <v>0</v>
      </c>
      <c r="AJ6" s="232">
        <v>0</v>
      </c>
      <c r="AK6" s="232" t="s">
        <v>57</v>
      </c>
      <c r="AL6" s="235" t="s">
        <v>57</v>
      </c>
      <c r="AM6" s="236">
        <v>0</v>
      </c>
      <c r="AN6" s="237">
        <v>22</v>
      </c>
      <c r="AO6" s="238" t="s">
        <v>93</v>
      </c>
      <c r="AP6" s="223" t="s">
        <v>94</v>
      </c>
      <c r="AQ6" s="239" t="s">
        <v>95</v>
      </c>
      <c r="AR6" s="239">
        <v>1000</v>
      </c>
      <c r="AS6" s="239" t="s">
        <v>96</v>
      </c>
      <c r="AT6" s="239">
        <v>0</v>
      </c>
      <c r="AU6" s="240">
        <v>22</v>
      </c>
      <c r="AV6" s="18"/>
      <c r="AW6" s="18">
        <f t="shared" si="0"/>
        <v>22000</v>
      </c>
      <c r="AX6" s="18">
        <f t="shared" si="1"/>
        <v>22</v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ht="9" customHeight="1">
      <c r="A7" s="220" t="s">
        <v>84</v>
      </c>
      <c r="B7" s="221">
        <v>14</v>
      </c>
      <c r="C7" s="222" t="s">
        <v>195</v>
      </c>
      <c r="D7" s="223">
        <v>2517</v>
      </c>
      <c r="E7" s="4" t="s">
        <v>85</v>
      </c>
      <c r="F7" s="221" t="s">
        <v>176</v>
      </c>
      <c r="G7" s="224" t="s">
        <v>147</v>
      </c>
      <c r="H7" s="221" t="s">
        <v>177</v>
      </c>
      <c r="I7" s="221" t="s">
        <v>111</v>
      </c>
      <c r="J7" s="224" t="s">
        <v>87</v>
      </c>
      <c r="K7" s="221" t="s">
        <v>88</v>
      </c>
      <c r="L7" s="225">
        <v>1</v>
      </c>
      <c r="M7" s="226" t="s">
        <v>89</v>
      </c>
      <c r="N7" s="227" t="s">
        <v>172</v>
      </c>
      <c r="O7" s="221">
        <v>2300</v>
      </c>
      <c r="P7" s="228" t="s">
        <v>89</v>
      </c>
      <c r="Q7" s="229" t="s">
        <v>91</v>
      </c>
      <c r="R7" s="230" t="s">
        <v>92</v>
      </c>
      <c r="S7" s="231">
        <v>0</v>
      </c>
      <c r="T7" s="237">
        <v>0</v>
      </c>
      <c r="U7" s="232">
        <v>0</v>
      </c>
      <c r="V7" s="232">
        <v>0</v>
      </c>
      <c r="W7" s="232">
        <v>0</v>
      </c>
      <c r="X7" s="232">
        <v>0</v>
      </c>
      <c r="Y7" s="232">
        <v>0</v>
      </c>
      <c r="Z7" s="232">
        <v>0</v>
      </c>
      <c r="AA7" s="232" t="s">
        <v>57</v>
      </c>
      <c r="AB7" s="233" t="s">
        <v>57</v>
      </c>
      <c r="AC7" s="234">
        <v>0</v>
      </c>
      <c r="AD7" s="232">
        <v>0</v>
      </c>
      <c r="AE7" s="232">
        <v>0</v>
      </c>
      <c r="AF7" s="232">
        <v>0</v>
      </c>
      <c r="AG7" s="232">
        <v>0</v>
      </c>
      <c r="AH7" s="232">
        <v>0</v>
      </c>
      <c r="AI7" s="232">
        <v>0</v>
      </c>
      <c r="AJ7" s="232">
        <v>0</v>
      </c>
      <c r="AK7" s="232" t="s">
        <v>57</v>
      </c>
      <c r="AL7" s="235" t="s">
        <v>57</v>
      </c>
      <c r="AM7" s="236">
        <v>0</v>
      </c>
      <c r="AN7" s="237">
        <v>22</v>
      </c>
      <c r="AO7" s="238" t="s">
        <v>93</v>
      </c>
      <c r="AP7" s="223" t="s">
        <v>52</v>
      </c>
      <c r="AQ7" s="239" t="s">
        <v>99</v>
      </c>
      <c r="AR7" s="239">
        <v>1000</v>
      </c>
      <c r="AS7" s="239" t="s">
        <v>100</v>
      </c>
      <c r="AT7" s="239">
        <v>0</v>
      </c>
      <c r="AU7" s="240">
        <v>22</v>
      </c>
      <c r="AV7" s="18"/>
      <c r="AW7" s="18" t="str">
        <f t="shared" si="0"/>
        <v/>
      </c>
      <c r="AX7" s="18" t="str">
        <f t="shared" si="1"/>
        <v/>
      </c>
      <c r="AY7" s="18"/>
      <c r="AZ7" s="18"/>
      <c r="BA7" s="18"/>
      <c r="BB7" s="18"/>
      <c r="BC7" s="18">
        <f t="shared" si="2"/>
        <v>22000</v>
      </c>
      <c r="BD7" s="18">
        <f t="shared" si="3"/>
        <v>22</v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ht="8.25" customHeight="1">
      <c r="A8" s="220" t="s">
        <v>84</v>
      </c>
      <c r="B8" s="221">
        <v>14</v>
      </c>
      <c r="C8" s="222" t="s">
        <v>195</v>
      </c>
      <c r="D8" s="223">
        <v>2534</v>
      </c>
      <c r="E8" s="4" t="s">
        <v>85</v>
      </c>
      <c r="F8" s="221" t="s">
        <v>176</v>
      </c>
      <c r="G8" s="224" t="s">
        <v>147</v>
      </c>
      <c r="H8" s="224" t="s">
        <v>177</v>
      </c>
      <c r="I8" s="224" t="s">
        <v>111</v>
      </c>
      <c r="J8" s="224" t="s">
        <v>87</v>
      </c>
      <c r="K8" s="225" t="s">
        <v>88</v>
      </c>
      <c r="L8" s="225">
        <v>1</v>
      </c>
      <c r="M8" s="226" t="s">
        <v>89</v>
      </c>
      <c r="N8" s="227" t="s">
        <v>172</v>
      </c>
      <c r="O8" s="221">
        <v>2300</v>
      </c>
      <c r="P8" s="228" t="s">
        <v>89</v>
      </c>
      <c r="Q8" s="229" t="s">
        <v>189</v>
      </c>
      <c r="R8" s="230" t="s">
        <v>190</v>
      </c>
      <c r="S8" s="189">
        <v>0</v>
      </c>
      <c r="T8" s="190">
        <v>0</v>
      </c>
      <c r="U8" s="190">
        <v>0</v>
      </c>
      <c r="V8" s="190">
        <v>0</v>
      </c>
      <c r="W8" s="190">
        <v>0</v>
      </c>
      <c r="X8" s="190">
        <v>0</v>
      </c>
      <c r="Y8" s="190">
        <v>0</v>
      </c>
      <c r="Z8" s="190">
        <v>0</v>
      </c>
      <c r="AA8" s="190"/>
      <c r="AB8" s="191"/>
      <c r="AC8" s="192">
        <v>0</v>
      </c>
      <c r="AD8" s="190">
        <v>0</v>
      </c>
      <c r="AE8" s="190">
        <v>0</v>
      </c>
      <c r="AF8" s="190">
        <v>0</v>
      </c>
      <c r="AG8" s="190">
        <v>0</v>
      </c>
      <c r="AH8" s="190">
        <v>0</v>
      </c>
      <c r="AI8" s="190">
        <v>0</v>
      </c>
      <c r="AJ8" s="190">
        <v>0</v>
      </c>
      <c r="AK8" s="190"/>
      <c r="AL8" s="193"/>
      <c r="AM8" s="194">
        <v>0</v>
      </c>
      <c r="AN8" s="195">
        <v>22</v>
      </c>
      <c r="AO8" s="196" t="s">
        <v>93</v>
      </c>
      <c r="AP8" s="167" t="s">
        <v>94</v>
      </c>
      <c r="AQ8" s="197" t="s">
        <v>227</v>
      </c>
      <c r="AR8" s="197">
        <v>1000</v>
      </c>
      <c r="AS8" s="197" t="s">
        <v>96</v>
      </c>
      <c r="AT8" s="197">
        <v>0</v>
      </c>
      <c r="AU8" s="198">
        <v>22</v>
      </c>
      <c r="AV8" s="18"/>
      <c r="AW8" s="18">
        <f t="shared" si="0"/>
        <v>22000</v>
      </c>
      <c r="AX8" s="18">
        <f t="shared" si="1"/>
        <v>22</v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 t="str">
        <f t="shared" si="4"/>
        <v/>
      </c>
      <c r="BG8" s="18" t="str">
        <f t="shared" si="5"/>
        <v/>
      </c>
      <c r="BH8" s="18"/>
    </row>
    <row r="9" spans="1:60" ht="9" customHeight="1">
      <c r="A9" s="220" t="s">
        <v>84</v>
      </c>
      <c r="B9" s="221">
        <v>14</v>
      </c>
      <c r="C9" s="222" t="s">
        <v>195</v>
      </c>
      <c r="D9" s="223">
        <v>2539</v>
      </c>
      <c r="E9" s="4" t="s">
        <v>85</v>
      </c>
      <c r="F9" s="221" t="s">
        <v>176</v>
      </c>
      <c r="G9" s="224" t="s">
        <v>147</v>
      </c>
      <c r="H9" s="224" t="s">
        <v>177</v>
      </c>
      <c r="I9" s="224" t="s">
        <v>111</v>
      </c>
      <c r="J9" s="224" t="s">
        <v>87</v>
      </c>
      <c r="K9" s="225" t="s">
        <v>88</v>
      </c>
      <c r="L9" s="225">
        <v>1</v>
      </c>
      <c r="M9" s="226" t="s">
        <v>89</v>
      </c>
      <c r="N9" s="227" t="s">
        <v>172</v>
      </c>
      <c r="O9" s="221">
        <v>2300</v>
      </c>
      <c r="P9" s="228" t="s">
        <v>89</v>
      </c>
      <c r="Q9" s="229" t="s">
        <v>189</v>
      </c>
      <c r="R9" s="230" t="s">
        <v>190</v>
      </c>
      <c r="S9" s="189">
        <v>0</v>
      </c>
      <c r="T9" s="190">
        <v>0</v>
      </c>
      <c r="U9" s="190">
        <v>0</v>
      </c>
      <c r="V9" s="190">
        <v>0</v>
      </c>
      <c r="W9" s="190">
        <v>0</v>
      </c>
      <c r="X9" s="190">
        <v>0</v>
      </c>
      <c r="Y9" s="190">
        <v>0</v>
      </c>
      <c r="Z9" s="190">
        <v>0</v>
      </c>
      <c r="AA9" s="190"/>
      <c r="AB9" s="191"/>
      <c r="AC9" s="192">
        <v>0</v>
      </c>
      <c r="AD9" s="190">
        <v>0</v>
      </c>
      <c r="AE9" s="190">
        <v>0</v>
      </c>
      <c r="AF9" s="190">
        <v>0</v>
      </c>
      <c r="AG9" s="190">
        <v>0</v>
      </c>
      <c r="AH9" s="190">
        <v>0</v>
      </c>
      <c r="AI9" s="190">
        <v>0</v>
      </c>
      <c r="AJ9" s="190">
        <v>0</v>
      </c>
      <c r="AK9" s="190"/>
      <c r="AL9" s="193"/>
      <c r="AM9" s="194">
        <v>0</v>
      </c>
      <c r="AN9" s="195">
        <v>22</v>
      </c>
      <c r="AO9" s="196" t="s">
        <v>93</v>
      </c>
      <c r="AP9" s="167" t="s">
        <v>58</v>
      </c>
      <c r="AQ9" s="197" t="s">
        <v>104</v>
      </c>
      <c r="AR9" s="197">
        <v>96</v>
      </c>
      <c r="AS9" s="197" t="s">
        <v>100</v>
      </c>
      <c r="AT9" s="197">
        <v>0</v>
      </c>
      <c r="AU9" s="198">
        <v>22</v>
      </c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 t="str">
        <f t="shared" si="2"/>
        <v/>
      </c>
      <c r="BD9" s="18" t="str">
        <f t="shared" si="3"/>
        <v/>
      </c>
      <c r="BE9" s="18"/>
      <c r="BF9" s="18">
        <f t="shared" si="4"/>
        <v>2112</v>
      </c>
      <c r="BG9" s="18">
        <f t="shared" si="5"/>
        <v>22</v>
      </c>
      <c r="BH9" s="18"/>
    </row>
    <row r="10" spans="1:60" ht="9" customHeight="1">
      <c r="A10" s="164" t="s">
        <v>84</v>
      </c>
      <c r="B10" s="165">
        <v>14</v>
      </c>
      <c r="C10" s="166" t="s">
        <v>195</v>
      </c>
      <c r="D10" s="167">
        <v>2547</v>
      </c>
      <c r="E10" s="114" t="s">
        <v>85</v>
      </c>
      <c r="F10" s="165" t="s">
        <v>176</v>
      </c>
      <c r="G10" s="168" t="s">
        <v>147</v>
      </c>
      <c r="H10" s="168" t="s">
        <v>177</v>
      </c>
      <c r="I10" s="168" t="s">
        <v>111</v>
      </c>
      <c r="J10" s="168" t="s">
        <v>87</v>
      </c>
      <c r="K10" s="169" t="s">
        <v>88</v>
      </c>
      <c r="L10" s="169">
        <v>1</v>
      </c>
      <c r="M10" s="170" t="s">
        <v>89</v>
      </c>
      <c r="N10" s="171" t="s">
        <v>172</v>
      </c>
      <c r="O10" s="165">
        <v>2300</v>
      </c>
      <c r="P10" s="172" t="s">
        <v>89</v>
      </c>
      <c r="Q10" s="173" t="s">
        <v>189</v>
      </c>
      <c r="R10" s="174" t="s">
        <v>190</v>
      </c>
      <c r="S10" s="119" t="s">
        <v>57</v>
      </c>
      <c r="T10" s="116" t="s">
        <v>57</v>
      </c>
      <c r="U10" s="116" t="s">
        <v>57</v>
      </c>
      <c r="V10" s="116" t="s">
        <v>57</v>
      </c>
      <c r="W10" s="116" t="s">
        <v>57</v>
      </c>
      <c r="X10" s="117" t="s">
        <v>57</v>
      </c>
      <c r="Y10" s="117" t="s">
        <v>57</v>
      </c>
      <c r="Z10" s="117" t="s">
        <v>57</v>
      </c>
      <c r="AA10" s="117" t="s">
        <v>57</v>
      </c>
      <c r="AB10" s="199" t="s">
        <v>57</v>
      </c>
      <c r="AC10" s="200" t="s">
        <v>57</v>
      </c>
      <c r="AD10" s="117" t="s">
        <v>57</v>
      </c>
      <c r="AE10" s="117" t="s">
        <v>57</v>
      </c>
      <c r="AF10" s="117" t="s">
        <v>57</v>
      </c>
      <c r="AG10" s="117" t="s">
        <v>57</v>
      </c>
      <c r="AH10" s="117" t="s">
        <v>57</v>
      </c>
      <c r="AI10" s="116" t="s">
        <v>57</v>
      </c>
      <c r="AJ10" s="116" t="s">
        <v>57</v>
      </c>
      <c r="AK10" s="116" t="s">
        <v>57</v>
      </c>
      <c r="AL10" s="118" t="s">
        <v>57</v>
      </c>
      <c r="AM10" s="119" t="s">
        <v>57</v>
      </c>
      <c r="AN10" s="116" t="s">
        <v>57</v>
      </c>
      <c r="AO10" s="114" t="s">
        <v>155</v>
      </c>
      <c r="AP10" s="167"/>
      <c r="AQ10" s="197"/>
      <c r="AR10" s="197"/>
      <c r="AS10" s="197"/>
      <c r="AT10" s="197"/>
      <c r="AU10" s="198"/>
      <c r="AV10" s="18"/>
      <c r="AW10" s="18" t="str">
        <f t="shared" si="0"/>
        <v/>
      </c>
      <c r="AX10" s="18" t="str">
        <f t="shared" si="1"/>
        <v/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ht="9" customHeight="1">
      <c r="A11" s="220"/>
      <c r="B11" s="221"/>
      <c r="C11" s="222"/>
      <c r="D11" s="223"/>
      <c r="E11" s="4"/>
      <c r="F11" s="221"/>
      <c r="G11" s="224"/>
      <c r="H11" s="221"/>
      <c r="I11" s="221"/>
      <c r="J11" s="6"/>
      <c r="K11" s="221"/>
      <c r="L11" s="225"/>
      <c r="M11" s="226"/>
      <c r="N11" s="227"/>
      <c r="O11" s="221"/>
      <c r="P11" s="228"/>
      <c r="Q11" s="229"/>
      <c r="R11" s="230"/>
      <c r="S11" s="231"/>
      <c r="T11" s="232"/>
      <c r="U11" s="232"/>
      <c r="V11" s="232"/>
      <c r="W11" s="232"/>
      <c r="X11" s="232"/>
      <c r="Y11" s="232"/>
      <c r="Z11" s="232"/>
      <c r="AA11" s="232"/>
      <c r="AB11" s="233"/>
      <c r="AC11" s="234"/>
      <c r="AD11" s="232"/>
      <c r="AE11" s="232"/>
      <c r="AF11" s="232"/>
      <c r="AG11" s="232"/>
      <c r="AH11" s="232"/>
      <c r="AI11" s="232"/>
      <c r="AJ11" s="232"/>
      <c r="AK11" s="232"/>
      <c r="AL11" s="235"/>
      <c r="AM11" s="236"/>
      <c r="AN11" s="237"/>
      <c r="AO11" s="238"/>
      <c r="AP11" s="223"/>
      <c r="AQ11" s="239"/>
      <c r="AR11" s="239"/>
      <c r="AS11" s="239"/>
      <c r="AT11" s="239"/>
      <c r="AU11" s="240"/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 t="str">
        <f t="shared" si="4"/>
        <v/>
      </c>
      <c r="BG11" s="18" t="str">
        <f t="shared" si="5"/>
        <v/>
      </c>
      <c r="BH11" s="18"/>
    </row>
    <row r="12" spans="1:60" ht="9" customHeight="1">
      <c r="A12" s="1" t="s">
        <v>84</v>
      </c>
      <c r="B12" s="2">
        <v>143</v>
      </c>
      <c r="C12" s="3" t="s">
        <v>196</v>
      </c>
      <c r="D12" s="138">
        <v>2526</v>
      </c>
      <c r="E12" s="4" t="s">
        <v>85</v>
      </c>
      <c r="F12" s="64">
        <v>335</v>
      </c>
      <c r="G12" s="6" t="s">
        <v>147</v>
      </c>
      <c r="H12" s="110">
        <v>419</v>
      </c>
      <c r="I12" s="7" t="s">
        <v>86</v>
      </c>
      <c r="J12" s="6" t="s">
        <v>97</v>
      </c>
      <c r="K12" s="7" t="s">
        <v>88</v>
      </c>
      <c r="L12" s="225">
        <v>1</v>
      </c>
      <c r="M12" s="226" t="s">
        <v>89</v>
      </c>
      <c r="N12" s="242" t="s">
        <v>172</v>
      </c>
      <c r="O12" s="2" t="s">
        <v>103</v>
      </c>
      <c r="P12" s="56" t="s">
        <v>90</v>
      </c>
      <c r="Q12" s="9" t="s">
        <v>189</v>
      </c>
      <c r="R12" s="10" t="s">
        <v>190</v>
      </c>
      <c r="S12" s="189">
        <v>0</v>
      </c>
      <c r="T12" s="190">
        <v>0</v>
      </c>
      <c r="U12" s="190">
        <v>0</v>
      </c>
      <c r="V12" s="190">
        <v>0</v>
      </c>
      <c r="W12" s="190">
        <v>0</v>
      </c>
      <c r="X12" s="190">
        <v>0</v>
      </c>
      <c r="Y12" s="190">
        <v>0</v>
      </c>
      <c r="Z12" s="190">
        <v>0</v>
      </c>
      <c r="AA12" s="190"/>
      <c r="AB12" s="191"/>
      <c r="AC12" s="192">
        <v>0</v>
      </c>
      <c r="AD12" s="190">
        <v>0</v>
      </c>
      <c r="AE12" s="190">
        <v>0</v>
      </c>
      <c r="AF12" s="190">
        <v>0</v>
      </c>
      <c r="AG12" s="190">
        <v>0</v>
      </c>
      <c r="AH12" s="190">
        <v>0</v>
      </c>
      <c r="AI12" s="190">
        <v>0</v>
      </c>
      <c r="AJ12" s="190">
        <v>0</v>
      </c>
      <c r="AK12" s="190"/>
      <c r="AL12" s="193"/>
      <c r="AM12" s="194">
        <v>0</v>
      </c>
      <c r="AN12" s="195">
        <v>0</v>
      </c>
      <c r="AO12" s="196" t="s">
        <v>93</v>
      </c>
      <c r="AP12" s="120" t="s">
        <v>58</v>
      </c>
      <c r="AQ12" s="117" t="s">
        <v>104</v>
      </c>
      <c r="AR12" s="201">
        <v>96</v>
      </c>
      <c r="AS12" s="202" t="s">
        <v>100</v>
      </c>
      <c r="AT12" s="201">
        <v>0</v>
      </c>
      <c r="AU12" s="203">
        <v>22</v>
      </c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 t="str">
        <f t="shared" si="2"/>
        <v/>
      </c>
      <c r="BD12" s="18" t="str">
        <f t="shared" si="3"/>
        <v/>
      </c>
      <c r="BE12" s="18"/>
      <c r="BF12" s="18">
        <f t="shared" si="4"/>
        <v>2112</v>
      </c>
      <c r="BG12" s="18">
        <f t="shared" si="5"/>
        <v>22</v>
      </c>
      <c r="BH12" s="18"/>
    </row>
    <row r="13" spans="1:60" ht="9" customHeight="1">
      <c r="A13" s="1" t="s">
        <v>84</v>
      </c>
      <c r="B13" s="2">
        <v>143</v>
      </c>
      <c r="C13" s="3" t="s">
        <v>196</v>
      </c>
      <c r="D13" s="138">
        <v>2530</v>
      </c>
      <c r="E13" s="4" t="s">
        <v>85</v>
      </c>
      <c r="F13" s="64">
        <v>335</v>
      </c>
      <c r="G13" s="6" t="s">
        <v>147</v>
      </c>
      <c r="H13" s="110">
        <v>418</v>
      </c>
      <c r="I13" s="7" t="s">
        <v>86</v>
      </c>
      <c r="J13" s="6" t="s">
        <v>97</v>
      </c>
      <c r="K13" s="7" t="s">
        <v>88</v>
      </c>
      <c r="L13" s="225">
        <v>1</v>
      </c>
      <c r="M13" s="226" t="s">
        <v>89</v>
      </c>
      <c r="N13" s="12" t="s">
        <v>172</v>
      </c>
      <c r="O13" s="2" t="s">
        <v>103</v>
      </c>
      <c r="P13" s="56" t="s">
        <v>90</v>
      </c>
      <c r="Q13" s="9" t="s">
        <v>189</v>
      </c>
      <c r="R13" s="10" t="s">
        <v>190</v>
      </c>
      <c r="S13" s="189">
        <v>0</v>
      </c>
      <c r="T13" s="190">
        <v>0</v>
      </c>
      <c r="U13" s="190">
        <v>0</v>
      </c>
      <c r="V13" s="190">
        <v>0</v>
      </c>
      <c r="W13" s="190">
        <v>0</v>
      </c>
      <c r="X13" s="190">
        <v>0</v>
      </c>
      <c r="Y13" s="190">
        <v>0</v>
      </c>
      <c r="Z13" s="190">
        <v>0</v>
      </c>
      <c r="AA13" s="190"/>
      <c r="AB13" s="191"/>
      <c r="AC13" s="192">
        <v>0</v>
      </c>
      <c r="AD13" s="190">
        <v>0</v>
      </c>
      <c r="AE13" s="190">
        <v>0</v>
      </c>
      <c r="AF13" s="190">
        <v>0</v>
      </c>
      <c r="AG13" s="190">
        <v>0</v>
      </c>
      <c r="AH13" s="190">
        <v>0</v>
      </c>
      <c r="AI13" s="190">
        <v>0</v>
      </c>
      <c r="AJ13" s="190">
        <v>0</v>
      </c>
      <c r="AK13" s="190"/>
      <c r="AL13" s="193"/>
      <c r="AM13" s="194">
        <v>0</v>
      </c>
      <c r="AN13" s="195">
        <v>0</v>
      </c>
      <c r="AO13" s="196" t="s">
        <v>93</v>
      </c>
      <c r="AP13" s="120" t="s">
        <v>52</v>
      </c>
      <c r="AQ13" s="117" t="s">
        <v>99</v>
      </c>
      <c r="AR13" s="201">
        <v>1000</v>
      </c>
      <c r="AS13" s="202" t="s">
        <v>100</v>
      </c>
      <c r="AT13" s="201">
        <v>0</v>
      </c>
      <c r="AU13" s="203">
        <v>22</v>
      </c>
      <c r="AV13" s="18"/>
      <c r="AW13" s="18" t="str">
        <f t="shared" si="0"/>
        <v/>
      </c>
      <c r="AX13" s="18" t="str">
        <f t="shared" si="1"/>
        <v/>
      </c>
      <c r="AY13" s="18"/>
      <c r="AZ13" s="18"/>
      <c r="BA13" s="18"/>
      <c r="BB13" s="18"/>
      <c r="BC13" s="18">
        <f t="shared" si="2"/>
        <v>22000</v>
      </c>
      <c r="BD13" s="18">
        <f t="shared" si="3"/>
        <v>22</v>
      </c>
      <c r="BE13" s="18"/>
      <c r="BF13" s="18" t="str">
        <f t="shared" si="4"/>
        <v/>
      </c>
      <c r="BG13" s="18" t="str">
        <f t="shared" si="5"/>
        <v/>
      </c>
      <c r="BH13" s="18"/>
    </row>
    <row r="14" spans="1:60" ht="9" customHeight="1">
      <c r="A14" s="1"/>
      <c r="B14" s="2"/>
      <c r="C14" s="3"/>
      <c r="D14" s="138"/>
      <c r="E14" s="4"/>
      <c r="F14" s="5"/>
      <c r="G14" s="6"/>
      <c r="H14" s="7"/>
      <c r="I14" s="7"/>
      <c r="J14" s="6"/>
      <c r="K14" s="7"/>
      <c r="L14" s="241"/>
      <c r="M14" s="12"/>
      <c r="N14" s="242"/>
      <c r="O14" s="2"/>
      <c r="P14" s="56"/>
      <c r="Q14" s="9"/>
      <c r="R14" s="10"/>
      <c r="S14" s="11"/>
      <c r="T14" s="12"/>
      <c r="U14" s="12"/>
      <c r="V14" s="12"/>
      <c r="W14" s="12"/>
      <c r="X14" s="2"/>
      <c r="Y14" s="2"/>
      <c r="Z14" s="2"/>
      <c r="AA14" s="2"/>
      <c r="AB14" s="59"/>
      <c r="AC14" s="62"/>
      <c r="AD14" s="2"/>
      <c r="AE14" s="2"/>
      <c r="AF14" s="2"/>
      <c r="AG14" s="2"/>
      <c r="AH14" s="2"/>
      <c r="AI14" s="12"/>
      <c r="AJ14" s="12"/>
      <c r="AK14" s="12"/>
      <c r="AL14" s="13"/>
      <c r="AM14" s="11"/>
      <c r="AN14" s="12"/>
      <c r="AO14" s="4"/>
      <c r="AP14" s="14"/>
      <c r="AQ14" s="2"/>
      <c r="AR14" s="15"/>
      <c r="AS14" s="16"/>
      <c r="AT14" s="15"/>
      <c r="AU14" s="17"/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 t="str">
        <f t="shared" si="4"/>
        <v/>
      </c>
      <c r="BG14" s="18" t="str">
        <f t="shared" si="5"/>
        <v/>
      </c>
      <c r="BH14" s="18"/>
    </row>
    <row r="15" spans="1:60" ht="9" customHeight="1">
      <c r="A15" s="122" t="s">
        <v>84</v>
      </c>
      <c r="B15" s="117">
        <v>160</v>
      </c>
      <c r="C15" s="125" t="s">
        <v>216</v>
      </c>
      <c r="D15" s="209">
        <v>2543</v>
      </c>
      <c r="E15" s="114" t="s">
        <v>85</v>
      </c>
      <c r="F15" s="210">
        <v>320</v>
      </c>
      <c r="G15" s="175" t="s">
        <v>147</v>
      </c>
      <c r="H15" s="176">
        <v>317</v>
      </c>
      <c r="I15" s="177" t="s">
        <v>101</v>
      </c>
      <c r="J15" s="175" t="s">
        <v>97</v>
      </c>
      <c r="K15" s="177" t="s">
        <v>88</v>
      </c>
      <c r="L15" s="219">
        <v>1</v>
      </c>
      <c r="M15" s="116" t="s">
        <v>89</v>
      </c>
      <c r="N15" s="211" t="s">
        <v>217</v>
      </c>
      <c r="O15" s="116">
        <v>2300</v>
      </c>
      <c r="P15" s="179" t="s">
        <v>106</v>
      </c>
      <c r="Q15" s="123" t="s">
        <v>189</v>
      </c>
      <c r="R15" s="124" t="s">
        <v>190</v>
      </c>
      <c r="S15" s="119">
        <v>0</v>
      </c>
      <c r="T15" s="116">
        <v>0</v>
      </c>
      <c r="U15" s="116">
        <v>0</v>
      </c>
      <c r="V15" s="116">
        <v>0</v>
      </c>
      <c r="W15" s="116">
        <v>0</v>
      </c>
      <c r="X15" s="117">
        <v>0</v>
      </c>
      <c r="Y15" s="117">
        <v>0</v>
      </c>
      <c r="Z15" s="117">
        <v>0</v>
      </c>
      <c r="AA15" s="117"/>
      <c r="AB15" s="199"/>
      <c r="AC15" s="200">
        <v>0</v>
      </c>
      <c r="AD15" s="117">
        <v>0</v>
      </c>
      <c r="AE15" s="117">
        <v>0</v>
      </c>
      <c r="AF15" s="117">
        <v>0</v>
      </c>
      <c r="AG15" s="117">
        <v>0</v>
      </c>
      <c r="AH15" s="117">
        <v>0</v>
      </c>
      <c r="AI15" s="116">
        <v>0</v>
      </c>
      <c r="AJ15" s="116">
        <v>0</v>
      </c>
      <c r="AK15" s="116"/>
      <c r="AL15" s="118"/>
      <c r="AM15" s="119">
        <v>0</v>
      </c>
      <c r="AN15" s="116">
        <v>22</v>
      </c>
      <c r="AO15" s="114" t="s">
        <v>93</v>
      </c>
      <c r="AP15" s="120" t="s">
        <v>52</v>
      </c>
      <c r="AQ15" s="117" t="s">
        <v>99</v>
      </c>
      <c r="AR15" s="201">
        <v>1000</v>
      </c>
      <c r="AS15" s="202" t="s">
        <v>100</v>
      </c>
      <c r="AT15" s="201">
        <v>0</v>
      </c>
      <c r="AU15" s="203">
        <v>22</v>
      </c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>
        <f t="shared" si="2"/>
        <v>22000</v>
      </c>
      <c r="BD15" s="18">
        <f t="shared" si="3"/>
        <v>22</v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ht="9" customHeight="1">
      <c r="A16" s="1"/>
      <c r="B16" s="2"/>
      <c r="C16" s="3"/>
      <c r="D16" s="138"/>
      <c r="E16" s="4"/>
      <c r="F16" s="5"/>
      <c r="G16" s="6"/>
      <c r="H16" s="7"/>
      <c r="I16" s="7"/>
      <c r="J16" s="6"/>
      <c r="K16" s="7"/>
      <c r="L16" s="241"/>
      <c r="M16" s="12"/>
      <c r="N16" s="242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 t="str">
        <f t="shared" si="4"/>
        <v/>
      </c>
      <c r="BG16" s="18" t="str">
        <f t="shared" si="5"/>
        <v/>
      </c>
      <c r="BH16" s="18"/>
    </row>
    <row r="17" spans="1:60" ht="9" customHeight="1">
      <c r="A17" s="1" t="s">
        <v>84</v>
      </c>
      <c r="B17" s="2">
        <v>265</v>
      </c>
      <c r="C17" s="3" t="s">
        <v>183</v>
      </c>
      <c r="D17" s="138">
        <v>2521</v>
      </c>
      <c r="E17" s="4" t="s">
        <v>85</v>
      </c>
      <c r="F17" s="64">
        <v>91</v>
      </c>
      <c r="G17" s="6" t="s">
        <v>147</v>
      </c>
      <c r="H17" s="110">
        <v>202</v>
      </c>
      <c r="I17" s="7" t="s">
        <v>101</v>
      </c>
      <c r="J17" s="6" t="s">
        <v>87</v>
      </c>
      <c r="K17" s="7" t="s">
        <v>88</v>
      </c>
      <c r="L17" s="94">
        <v>0.8</v>
      </c>
      <c r="M17" s="12" t="s">
        <v>89</v>
      </c>
      <c r="N17" s="12" t="s">
        <v>98</v>
      </c>
      <c r="O17" s="12">
        <v>2300</v>
      </c>
      <c r="P17" s="56" t="s">
        <v>90</v>
      </c>
      <c r="Q17" s="9" t="s">
        <v>189</v>
      </c>
      <c r="R17" s="10" t="s">
        <v>190</v>
      </c>
      <c r="S17" s="11">
        <v>0</v>
      </c>
      <c r="T17" s="12">
        <v>0</v>
      </c>
      <c r="U17" s="12">
        <v>0</v>
      </c>
      <c r="V17" s="12">
        <v>0</v>
      </c>
      <c r="W17" s="12">
        <v>0</v>
      </c>
      <c r="X17" s="2">
        <v>0</v>
      </c>
      <c r="Y17" s="2">
        <v>0</v>
      </c>
      <c r="Z17" s="2">
        <v>0</v>
      </c>
      <c r="AA17" s="2" t="s">
        <v>57</v>
      </c>
      <c r="AB17" s="59" t="s">
        <v>57</v>
      </c>
      <c r="AC17" s="6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12">
        <v>0</v>
      </c>
      <c r="AJ17" s="12">
        <v>0</v>
      </c>
      <c r="AK17" s="12" t="s">
        <v>57</v>
      </c>
      <c r="AL17" s="13" t="s">
        <v>57</v>
      </c>
      <c r="AM17" s="11">
        <v>0</v>
      </c>
      <c r="AN17" s="12">
        <v>22</v>
      </c>
      <c r="AO17" s="4" t="s">
        <v>93</v>
      </c>
      <c r="AP17" s="14" t="s">
        <v>94</v>
      </c>
      <c r="AQ17" s="2" t="s">
        <v>95</v>
      </c>
      <c r="AR17" s="15">
        <v>1000</v>
      </c>
      <c r="AS17" s="16" t="s">
        <v>96</v>
      </c>
      <c r="AT17" s="15">
        <v>0</v>
      </c>
      <c r="AU17" s="17">
        <v>22</v>
      </c>
      <c r="AV17" s="18"/>
      <c r="AW17" s="18">
        <f t="shared" si="0"/>
        <v>22000</v>
      </c>
      <c r="AX17" s="18">
        <f t="shared" si="1"/>
        <v>22</v>
      </c>
      <c r="AY17" s="18"/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ht="9" customHeight="1">
      <c r="A18" s="1"/>
      <c r="B18" s="2"/>
      <c r="C18" s="3"/>
      <c r="D18" s="138"/>
      <c r="E18" s="4"/>
      <c r="F18" s="5"/>
      <c r="G18" s="6"/>
      <c r="H18" s="7"/>
      <c r="I18" s="7"/>
      <c r="J18" s="6"/>
      <c r="K18" s="7"/>
      <c r="L18" s="95"/>
      <c r="M18" s="12"/>
      <c r="N18" s="12"/>
      <c r="O18" s="2"/>
      <c r="P18" s="56"/>
      <c r="Q18" s="9"/>
      <c r="R18" s="10"/>
      <c r="S18" s="11"/>
      <c r="T18" s="12"/>
      <c r="U18" s="12"/>
      <c r="V18" s="12"/>
      <c r="W18" s="12"/>
      <c r="X18" s="2"/>
      <c r="Y18" s="2"/>
      <c r="Z18" s="2"/>
      <c r="AA18" s="2"/>
      <c r="AB18" s="59"/>
      <c r="AC18" s="62"/>
      <c r="AD18" s="2"/>
      <c r="AE18" s="2"/>
      <c r="AF18" s="2"/>
      <c r="AG18" s="2"/>
      <c r="AH18" s="2"/>
      <c r="AI18" s="12"/>
      <c r="AJ18" s="12"/>
      <c r="AK18" s="12"/>
      <c r="AL18" s="13"/>
      <c r="AM18" s="11"/>
      <c r="AN18" s="12"/>
      <c r="AO18" s="4"/>
      <c r="AP18" s="14"/>
      <c r="AQ18" s="2"/>
      <c r="AR18" s="15"/>
      <c r="AS18" s="16"/>
      <c r="AT18" s="15"/>
      <c r="AU18" s="17"/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 t="str">
        <f t="shared" si="4"/>
        <v/>
      </c>
      <c r="BG18" s="18" t="str">
        <f t="shared" si="5"/>
        <v/>
      </c>
      <c r="BH18" s="18"/>
    </row>
    <row r="19" spans="1:60" ht="9" customHeight="1">
      <c r="A19" s="1"/>
      <c r="B19" s="2"/>
      <c r="C19" s="3"/>
      <c r="D19" s="138"/>
      <c r="E19" s="4"/>
      <c r="F19" s="5"/>
      <c r="G19" s="6"/>
      <c r="H19" s="7"/>
      <c r="I19" s="7"/>
      <c r="J19" s="6"/>
      <c r="K19" s="7"/>
      <c r="L19" s="95"/>
      <c r="M19" s="12"/>
      <c r="N19" s="12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5"/>
      <c r="AS19" s="16"/>
      <c r="AT19" s="15"/>
      <c r="AU19" s="17"/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ht="9" customHeight="1">
      <c r="A20" s="1"/>
      <c r="B20" s="2"/>
      <c r="C20" s="3"/>
      <c r="D20" s="138"/>
      <c r="E20" s="4"/>
      <c r="F20" s="5"/>
      <c r="G20" s="6"/>
      <c r="H20" s="7"/>
      <c r="I20" s="7"/>
      <c r="J20" s="6"/>
      <c r="K20" s="7"/>
      <c r="L20" s="95"/>
      <c r="M20" s="12"/>
      <c r="N20" s="12"/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F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 t="str">
        <f t="shared" si="4"/>
        <v/>
      </c>
      <c r="BG20" s="18" t="str">
        <f t="shared" si="5"/>
        <v/>
      </c>
      <c r="BH20" s="18"/>
    </row>
    <row r="21" spans="1:60" ht="9" customHeight="1">
      <c r="A21" s="1"/>
      <c r="B21" s="2"/>
      <c r="C21" s="3"/>
      <c r="D21" s="138"/>
      <c r="E21" s="4"/>
      <c r="F21" s="5"/>
      <c r="G21" s="6"/>
      <c r="H21" s="7"/>
      <c r="I21" s="7"/>
      <c r="J21" s="6"/>
      <c r="K21" s="7"/>
      <c r="L21" s="95"/>
      <c r="M21" s="12"/>
      <c r="N21" s="12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5"/>
      <c r="AS21" s="16"/>
      <c r="AT21" s="15"/>
      <c r="AU21" s="17"/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ht="9" customHeight="1">
      <c r="A22" s="1"/>
      <c r="B22" s="2"/>
      <c r="C22" s="3"/>
      <c r="D22" s="138"/>
      <c r="E22" s="4"/>
      <c r="F22" s="5"/>
      <c r="G22" s="6"/>
      <c r="H22" s="7"/>
      <c r="I22" s="7"/>
      <c r="J22" s="6"/>
      <c r="K22" s="7"/>
      <c r="L22" s="95"/>
      <c r="M22" s="12"/>
      <c r="N22" s="12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6"/>
      <c r="AS22" s="16"/>
      <c r="AT22" s="16"/>
      <c r="AU22" s="51"/>
      <c r="AV22" s="18"/>
      <c r="AW22" s="18" t="str">
        <f t="shared" si="0"/>
        <v/>
      </c>
      <c r="AX22" s="18" t="str">
        <f t="shared" si="1"/>
        <v/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ht="8.25" customHeight="1">
      <c r="A23" s="1"/>
      <c r="B23" s="2"/>
      <c r="C23" s="3"/>
      <c r="D23" s="138"/>
      <c r="E23" s="4"/>
      <c r="F23" s="5"/>
      <c r="G23" s="6"/>
      <c r="H23" s="7"/>
      <c r="I23" s="7"/>
      <c r="J23" s="6"/>
      <c r="K23" s="7"/>
      <c r="L23" s="95"/>
      <c r="M23" s="12"/>
      <c r="N23" s="12"/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F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5"/>
      <c r="AS23" s="16"/>
      <c r="AT23" s="15"/>
      <c r="AU23" s="17"/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 t="str">
        <f t="shared" si="4"/>
        <v/>
      </c>
      <c r="BG23" s="18" t="str">
        <f t="shared" si="5"/>
        <v/>
      </c>
      <c r="BH23" s="18"/>
    </row>
    <row r="24" spans="1:60" ht="8.25" customHeight="1">
      <c r="A24" s="1"/>
      <c r="B24" s="2"/>
      <c r="C24" s="3"/>
      <c r="D24" s="138"/>
      <c r="E24" s="4"/>
      <c r="F24" s="5"/>
      <c r="G24" s="6"/>
      <c r="H24" s="7"/>
      <c r="I24" s="7"/>
      <c r="J24" s="6"/>
      <c r="K24" s="7"/>
      <c r="L24" s="95"/>
      <c r="M24" s="12"/>
      <c r="N24" s="12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ht="8.25" customHeight="1">
      <c r="A25" s="1"/>
      <c r="B25" s="2"/>
      <c r="C25" s="3"/>
      <c r="D25" s="138"/>
      <c r="E25" s="4"/>
      <c r="F25" s="5"/>
      <c r="G25" s="6"/>
      <c r="H25" s="7"/>
      <c r="I25" s="7"/>
      <c r="J25" s="6"/>
      <c r="K25" s="7"/>
      <c r="L25" s="95"/>
      <c r="M25" s="12"/>
      <c r="N25" s="12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6"/>
      <c r="AS25" s="16"/>
      <c r="AT25" s="16"/>
      <c r="AU25" s="51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ht="8.25" customHeight="1">
      <c r="A26" s="1"/>
      <c r="B26" s="2"/>
      <c r="C26" s="3"/>
      <c r="D26" s="138"/>
      <c r="E26" s="4"/>
      <c r="F26" s="5"/>
      <c r="G26" s="6"/>
      <c r="H26" s="7"/>
      <c r="I26" s="7"/>
      <c r="J26" s="6"/>
      <c r="K26" s="7"/>
      <c r="L26" s="95"/>
      <c r="M26" s="12"/>
      <c r="N26" s="12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ht="8.25" customHeight="1">
      <c r="A27" s="1"/>
      <c r="B27" s="2"/>
      <c r="C27" s="3"/>
      <c r="D27" s="138"/>
      <c r="E27" s="4"/>
      <c r="F27" s="5"/>
      <c r="G27" s="6"/>
      <c r="H27" s="7"/>
      <c r="I27" s="7"/>
      <c r="J27" s="6"/>
      <c r="K27" s="7"/>
      <c r="L27" s="95"/>
      <c r="M27" s="12"/>
      <c r="N27" s="12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5"/>
      <c r="AS27" s="16"/>
      <c r="AT27" s="15"/>
      <c r="AU27" s="17"/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 t="str">
        <f t="shared" si="4"/>
        <v/>
      </c>
      <c r="BG27" s="18" t="str">
        <f t="shared" si="5"/>
        <v/>
      </c>
      <c r="BH27" s="18"/>
    </row>
    <row r="28" spans="1:60" ht="8.25" customHeight="1">
      <c r="A28" s="1"/>
      <c r="B28" s="2"/>
      <c r="C28" s="3"/>
      <c r="D28" s="138"/>
      <c r="E28" s="4"/>
      <c r="F28" s="5"/>
      <c r="G28" s="6"/>
      <c r="H28" s="7"/>
      <c r="I28" s="7"/>
      <c r="J28" s="6"/>
      <c r="K28" s="7"/>
      <c r="L28" s="95"/>
      <c r="M28" s="12"/>
      <c r="N28" s="12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5"/>
      <c r="AS28" s="16"/>
      <c r="AT28" s="15"/>
      <c r="AU28" s="17"/>
      <c r="AV28" s="18"/>
      <c r="AW28" s="18" t="str">
        <f t="shared" si="0"/>
        <v/>
      </c>
      <c r="AX28" s="18" t="str">
        <f t="shared" si="1"/>
        <v/>
      </c>
      <c r="AY28" s="18"/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/>
      <c r="BF28" s="18" t="str">
        <f t="shared" si="4"/>
        <v/>
      </c>
      <c r="BG28" s="18" t="str">
        <f t="shared" si="5"/>
        <v/>
      </c>
      <c r="BH28" s="18"/>
    </row>
    <row r="29" spans="1:60" ht="8.25" customHeight="1">
      <c r="A29" s="1"/>
      <c r="B29" s="2"/>
      <c r="C29" s="3"/>
      <c r="D29" s="138"/>
      <c r="E29" s="4"/>
      <c r="F29" s="5"/>
      <c r="G29" s="6"/>
      <c r="H29" s="7"/>
      <c r="I29" s="7"/>
      <c r="J29" s="6"/>
      <c r="K29" s="7"/>
      <c r="L29" s="95"/>
      <c r="M29" s="12"/>
      <c r="N29" s="12"/>
      <c r="O29" s="2"/>
      <c r="P29" s="56"/>
      <c r="Q29" s="9"/>
      <c r="R29" s="10"/>
      <c r="S29" s="11"/>
      <c r="T29" s="12"/>
      <c r="U29" s="12"/>
      <c r="V29" s="12"/>
      <c r="W29" s="12"/>
      <c r="X29" s="2"/>
      <c r="Y29" s="2"/>
      <c r="Z29" s="2"/>
      <c r="AA29" s="2"/>
      <c r="AB29" s="59"/>
      <c r="AC29" s="62"/>
      <c r="AD29" s="2"/>
      <c r="AE29" s="2"/>
      <c r="AF29" s="2"/>
      <c r="AG29" s="2"/>
      <c r="AH29" s="2"/>
      <c r="AI29" s="12"/>
      <c r="AJ29" s="12"/>
      <c r="AK29" s="12"/>
      <c r="AL29" s="13"/>
      <c r="AM29" s="11"/>
      <c r="AN29" s="12"/>
      <c r="AO29" s="4"/>
      <c r="AP29" s="14"/>
      <c r="AQ29" s="2"/>
      <c r="AR29" s="16"/>
      <c r="AS29" s="16"/>
      <c r="AT29" s="16"/>
      <c r="AU29" s="51"/>
      <c r="AV29" s="18"/>
      <c r="AW29" s="18" t="str">
        <f t="shared" si="0"/>
        <v/>
      </c>
      <c r="AX29" s="18" t="str">
        <f t="shared" si="1"/>
        <v/>
      </c>
      <c r="AY29" s="18"/>
      <c r="AZ29" s="18"/>
      <c r="BA29" s="18"/>
      <c r="BB29" s="18"/>
      <c r="BC29" s="18" t="str">
        <f t="shared" si="2"/>
        <v/>
      </c>
      <c r="BD29" s="18" t="str">
        <f t="shared" si="3"/>
        <v/>
      </c>
      <c r="BE29" s="18"/>
      <c r="BF29" s="18" t="str">
        <f t="shared" si="4"/>
        <v/>
      </c>
      <c r="BG29" s="18" t="str">
        <f t="shared" si="5"/>
        <v/>
      </c>
      <c r="BH29" s="18"/>
    </row>
    <row r="30" spans="1:60" ht="8.25" customHeight="1">
      <c r="A30" s="1"/>
      <c r="B30" s="2"/>
      <c r="C30" s="3"/>
      <c r="D30" s="138"/>
      <c r="E30" s="4"/>
      <c r="F30" s="5"/>
      <c r="G30" s="6"/>
      <c r="H30" s="7"/>
      <c r="I30" s="7"/>
      <c r="J30" s="6"/>
      <c r="K30" s="7"/>
      <c r="L30" s="95"/>
      <c r="M30" s="12"/>
      <c r="N30" s="12"/>
      <c r="O30" s="2"/>
      <c r="P30" s="56"/>
      <c r="Q30" s="9"/>
      <c r="R30" s="10"/>
      <c r="S30" s="11"/>
      <c r="T30" s="12"/>
      <c r="U30" s="12"/>
      <c r="V30" s="12"/>
      <c r="W30" s="12"/>
      <c r="X30" s="2"/>
      <c r="Y30" s="2"/>
      <c r="Z30" s="2"/>
      <c r="AA30" s="2"/>
      <c r="AB30" s="59"/>
      <c r="AC30" s="62"/>
      <c r="AD30" s="2"/>
      <c r="AE30" s="2"/>
      <c r="AF30" s="2"/>
      <c r="AG30" s="2"/>
      <c r="AH30" s="2"/>
      <c r="AI30" s="12"/>
      <c r="AJ30" s="12"/>
      <c r="AK30" s="12"/>
      <c r="AL30" s="13"/>
      <c r="AM30" s="11"/>
      <c r="AN30" s="12"/>
      <c r="AO30" s="4"/>
      <c r="AP30" s="14"/>
      <c r="AQ30" s="2"/>
      <c r="AR30" s="15"/>
      <c r="AS30" s="16"/>
      <c r="AT30" s="15"/>
      <c r="AU30" s="17"/>
      <c r="AV30" s="18"/>
      <c r="AW30" s="18" t="str">
        <f t="shared" si="0"/>
        <v/>
      </c>
      <c r="AX30" s="18" t="str">
        <f t="shared" si="1"/>
        <v/>
      </c>
      <c r="AY30" s="18"/>
      <c r="AZ30" s="18"/>
      <c r="BA30" s="18"/>
      <c r="BB30" s="18"/>
      <c r="BC30" s="18" t="str">
        <f t="shared" si="2"/>
        <v/>
      </c>
      <c r="BD30" s="18" t="str">
        <f t="shared" si="3"/>
        <v/>
      </c>
      <c r="BE30" s="18"/>
      <c r="BF30" s="18" t="str">
        <f t="shared" si="4"/>
        <v/>
      </c>
      <c r="BG30" s="18" t="str">
        <f t="shared" si="5"/>
        <v/>
      </c>
      <c r="BH30" s="18"/>
    </row>
    <row r="31" spans="1:60" ht="8.25" customHeight="1">
      <c r="A31" s="1"/>
      <c r="B31" s="2"/>
      <c r="C31" s="3"/>
      <c r="D31" s="138"/>
      <c r="E31" s="4"/>
      <c r="F31" s="5"/>
      <c r="G31" s="6"/>
      <c r="H31" s="7"/>
      <c r="I31" s="7"/>
      <c r="J31" s="6"/>
      <c r="K31" s="7"/>
      <c r="L31" s="95"/>
      <c r="M31" s="12"/>
      <c r="N31" s="12"/>
      <c r="O31" s="2"/>
      <c r="P31" s="56"/>
      <c r="Q31" s="9"/>
      <c r="R31" s="10"/>
      <c r="S31" s="11"/>
      <c r="T31" s="12"/>
      <c r="U31" s="12"/>
      <c r="V31" s="12"/>
      <c r="W31" s="12"/>
      <c r="X31" s="2"/>
      <c r="Y31" s="2"/>
      <c r="Z31" s="2"/>
      <c r="AA31" s="2"/>
      <c r="AB31" s="59"/>
      <c r="AC31" s="62"/>
      <c r="AD31" s="2"/>
      <c r="AE31" s="2"/>
      <c r="AF31" s="2"/>
      <c r="AG31" s="2"/>
      <c r="AH31" s="2"/>
      <c r="AI31" s="12"/>
      <c r="AJ31" s="12"/>
      <c r="AK31" s="12"/>
      <c r="AL31" s="13"/>
      <c r="AM31" s="11"/>
      <c r="AN31" s="12"/>
      <c r="AO31" s="4"/>
      <c r="AP31" s="14"/>
      <c r="AQ31" s="2"/>
      <c r="AR31" s="15"/>
      <c r="AS31" s="16"/>
      <c r="AT31" s="15"/>
      <c r="AU31" s="17"/>
      <c r="AV31" s="18"/>
      <c r="AW31" s="18" t="str">
        <f t="shared" si="0"/>
        <v/>
      </c>
      <c r="AX31" s="18" t="str">
        <f t="shared" si="1"/>
        <v/>
      </c>
      <c r="AY31" s="18"/>
      <c r="AZ31" s="18"/>
      <c r="BA31" s="18"/>
      <c r="BB31" s="18"/>
      <c r="BC31" s="18" t="str">
        <f t="shared" si="2"/>
        <v/>
      </c>
      <c r="BD31" s="18" t="str">
        <f t="shared" si="3"/>
        <v/>
      </c>
      <c r="BE31" s="18"/>
      <c r="BF31" s="18" t="str">
        <f t="shared" si="4"/>
        <v/>
      </c>
      <c r="BG31" s="18" t="str">
        <f t="shared" si="5"/>
        <v/>
      </c>
      <c r="BH31" s="18"/>
    </row>
    <row r="32" spans="1:60" ht="8.25" customHeight="1">
      <c r="A32" s="1"/>
      <c r="B32" s="2"/>
      <c r="C32" s="3"/>
      <c r="D32" s="138"/>
      <c r="E32" s="4"/>
      <c r="F32" s="5"/>
      <c r="G32" s="6"/>
      <c r="H32" s="7"/>
      <c r="I32" s="7"/>
      <c r="J32" s="6"/>
      <c r="K32" s="7"/>
      <c r="L32" s="95"/>
      <c r="M32" s="12"/>
      <c r="N32" s="12"/>
      <c r="O32" s="2"/>
      <c r="P32" s="56"/>
      <c r="Q32" s="9"/>
      <c r="R32" s="10"/>
      <c r="S32" s="11"/>
      <c r="T32" s="12"/>
      <c r="U32" s="12"/>
      <c r="V32" s="12"/>
      <c r="W32" s="12"/>
      <c r="X32" s="2"/>
      <c r="Y32" s="2"/>
      <c r="Z32" s="2"/>
      <c r="AA32" s="2"/>
      <c r="AB32" s="59"/>
      <c r="AC32" s="62"/>
      <c r="AD32" s="2"/>
      <c r="AE32" s="2"/>
      <c r="AF32" s="2"/>
      <c r="AG32" s="2"/>
      <c r="AH32" s="2"/>
      <c r="AI32" s="12"/>
      <c r="AJ32" s="12"/>
      <c r="AK32" s="12"/>
      <c r="AL32" s="13"/>
      <c r="AM32" s="11"/>
      <c r="AN32" s="12"/>
      <c r="AO32" s="4"/>
      <c r="AP32" s="14"/>
      <c r="AQ32" s="2"/>
      <c r="AR32" s="15"/>
      <c r="AS32" s="16"/>
      <c r="AT32" s="15"/>
      <c r="AU32" s="17"/>
      <c r="AV32" s="18"/>
      <c r="AW32" s="18" t="str">
        <f t="shared" si="0"/>
        <v/>
      </c>
      <c r="AX32" s="18" t="str">
        <f t="shared" si="1"/>
        <v/>
      </c>
      <c r="AY32" s="18"/>
      <c r="AZ32" s="18"/>
      <c r="BA32" s="18"/>
      <c r="BB32" s="18"/>
      <c r="BC32" s="18" t="str">
        <f t="shared" si="2"/>
        <v/>
      </c>
      <c r="BD32" s="18" t="str">
        <f t="shared" si="3"/>
        <v/>
      </c>
      <c r="BE32" s="18"/>
      <c r="BF32" s="18" t="str">
        <f t="shared" si="4"/>
        <v/>
      </c>
      <c r="BG32" s="18" t="str">
        <f t="shared" si="5"/>
        <v/>
      </c>
      <c r="BH32" s="18"/>
    </row>
    <row r="33" spans="1:60" ht="8.25" customHeight="1">
      <c r="A33" s="1"/>
      <c r="B33" s="2"/>
      <c r="C33" s="3"/>
      <c r="D33" s="138"/>
      <c r="E33" s="4"/>
      <c r="F33" s="5"/>
      <c r="G33" s="6"/>
      <c r="H33" s="7"/>
      <c r="I33" s="7"/>
      <c r="J33" s="6"/>
      <c r="K33" s="7"/>
      <c r="L33" s="95"/>
      <c r="M33" s="12"/>
      <c r="N33" s="12"/>
      <c r="O33" s="2"/>
      <c r="P33" s="56"/>
      <c r="Q33" s="9"/>
      <c r="R33" s="10"/>
      <c r="S33" s="11"/>
      <c r="T33" s="12"/>
      <c r="U33" s="12"/>
      <c r="V33" s="12"/>
      <c r="W33" s="12"/>
      <c r="X33" s="2"/>
      <c r="Y33" s="2"/>
      <c r="Z33" s="2"/>
      <c r="AA33" s="2"/>
      <c r="AB33" s="59"/>
      <c r="AC33" s="62"/>
      <c r="AD33" s="2"/>
      <c r="AE33" s="2"/>
      <c r="AF33" s="2"/>
      <c r="AG33" s="2"/>
      <c r="AH33" s="2"/>
      <c r="AI33" s="12"/>
      <c r="AJ33" s="12"/>
      <c r="AK33" s="12"/>
      <c r="AL33" s="13"/>
      <c r="AM33" s="11"/>
      <c r="AN33" s="12"/>
      <c r="AO33" s="4"/>
      <c r="AP33" s="14"/>
      <c r="AQ33" s="2"/>
      <c r="AR33" s="16"/>
      <c r="AS33" s="16"/>
      <c r="AT33" s="16"/>
      <c r="AU33" s="51"/>
      <c r="AV33" s="18"/>
      <c r="AW33" s="18" t="str">
        <f t="shared" si="0"/>
        <v/>
      </c>
      <c r="AX33" s="18" t="str">
        <f t="shared" si="1"/>
        <v/>
      </c>
      <c r="AY33" s="18"/>
      <c r="AZ33" s="18"/>
      <c r="BA33" s="18"/>
      <c r="BB33" s="18"/>
      <c r="BC33" s="18" t="str">
        <f t="shared" si="2"/>
        <v/>
      </c>
      <c r="BD33" s="18" t="str">
        <f t="shared" si="3"/>
        <v/>
      </c>
      <c r="BE33" s="18"/>
      <c r="BF33" s="18" t="str">
        <f t="shared" si="4"/>
        <v/>
      </c>
      <c r="BG33" s="18" t="str">
        <f t="shared" si="5"/>
        <v/>
      </c>
      <c r="BH33" s="18"/>
    </row>
    <row r="34" spans="1:60" ht="8.25" customHeight="1">
      <c r="A34" s="1"/>
      <c r="B34" s="2"/>
      <c r="C34" s="3"/>
      <c r="D34" s="138"/>
      <c r="E34" s="4"/>
      <c r="F34" s="5"/>
      <c r="G34" s="6"/>
      <c r="H34" s="7"/>
      <c r="I34" s="7"/>
      <c r="J34" s="6"/>
      <c r="K34" s="7"/>
      <c r="L34" s="95"/>
      <c r="M34" s="12"/>
      <c r="N34" s="12"/>
      <c r="O34" s="2"/>
      <c r="P34" s="56"/>
      <c r="Q34" s="9"/>
      <c r="R34" s="10"/>
      <c r="S34" s="11"/>
      <c r="T34" s="12"/>
      <c r="U34" s="12"/>
      <c r="V34" s="12"/>
      <c r="W34" s="12"/>
      <c r="X34" s="2"/>
      <c r="Y34" s="2"/>
      <c r="Z34" s="2"/>
      <c r="AA34" s="2"/>
      <c r="AB34" s="59"/>
      <c r="AC34" s="62"/>
      <c r="AD34" s="2"/>
      <c r="AE34" s="2"/>
      <c r="AF34" s="2"/>
      <c r="AG34" s="2"/>
      <c r="AH34" s="2"/>
      <c r="AI34" s="12"/>
      <c r="AJ34" s="12"/>
      <c r="AK34" s="12"/>
      <c r="AL34" s="13"/>
      <c r="AM34" s="11"/>
      <c r="AN34" s="12"/>
      <c r="AO34" s="4"/>
      <c r="AP34" s="14"/>
      <c r="AQ34" s="2"/>
      <c r="AR34" s="15"/>
      <c r="AS34" s="16"/>
      <c r="AT34" s="15"/>
      <c r="AU34" s="17"/>
      <c r="AV34" s="18"/>
      <c r="AW34" s="18" t="str">
        <f t="shared" si="0"/>
        <v/>
      </c>
      <c r="AX34" s="18" t="str">
        <f t="shared" si="1"/>
        <v/>
      </c>
      <c r="AY34" s="18"/>
      <c r="AZ34" s="18"/>
      <c r="BA34" s="18"/>
      <c r="BB34" s="18"/>
      <c r="BC34" s="18" t="str">
        <f t="shared" si="2"/>
        <v/>
      </c>
      <c r="BD34" s="18" t="str">
        <f t="shared" si="3"/>
        <v/>
      </c>
      <c r="BE34" s="18"/>
      <c r="BF34" s="18" t="str">
        <f t="shared" si="4"/>
        <v/>
      </c>
      <c r="BG34" s="18" t="str">
        <f t="shared" si="5"/>
        <v/>
      </c>
      <c r="BH34" s="18"/>
    </row>
    <row r="35" spans="1:60" ht="8.25" customHeight="1">
      <c r="A35" s="1"/>
      <c r="B35" s="2"/>
      <c r="C35" s="3"/>
      <c r="D35" s="138"/>
      <c r="E35" s="4"/>
      <c r="F35" s="5"/>
      <c r="G35" s="6"/>
      <c r="H35" s="7"/>
      <c r="I35" s="7"/>
      <c r="J35" s="6"/>
      <c r="K35" s="7"/>
      <c r="L35" s="95"/>
      <c r="M35" s="12"/>
      <c r="N35" s="12"/>
      <c r="O35" s="2"/>
      <c r="P35" s="56"/>
      <c r="Q35" s="9"/>
      <c r="R35" s="10"/>
      <c r="S35" s="11"/>
      <c r="T35" s="12"/>
      <c r="U35" s="12"/>
      <c r="V35" s="12"/>
      <c r="W35" s="12"/>
      <c r="X35" s="2"/>
      <c r="Y35" s="2"/>
      <c r="Z35" s="2"/>
      <c r="AA35" s="2"/>
      <c r="AB35" s="59"/>
      <c r="AC35" s="62"/>
      <c r="AD35" s="2"/>
      <c r="AE35" s="2"/>
      <c r="AF35" s="2"/>
      <c r="AG35" s="2"/>
      <c r="AH35" s="2"/>
      <c r="AI35" s="12"/>
      <c r="AJ35" s="12"/>
      <c r="AK35" s="12"/>
      <c r="AL35" s="13"/>
      <c r="AM35" s="11"/>
      <c r="AN35" s="12"/>
      <c r="AO35" s="4"/>
      <c r="AP35" s="14"/>
      <c r="AQ35" s="2"/>
      <c r="AR35" s="15"/>
      <c r="AS35" s="16"/>
      <c r="AT35" s="15"/>
      <c r="AU35" s="17"/>
      <c r="AV35" s="18"/>
      <c r="AW35" s="18" t="str">
        <f t="shared" si="0"/>
        <v/>
      </c>
      <c r="AX35" s="18" t="str">
        <f t="shared" si="1"/>
        <v/>
      </c>
      <c r="AY35" s="18"/>
      <c r="AZ35" s="18"/>
      <c r="BA35" s="18"/>
      <c r="BB35" s="18"/>
      <c r="BC35" s="18" t="str">
        <f t="shared" si="2"/>
        <v/>
      </c>
      <c r="BD35" s="18" t="str">
        <f t="shared" si="3"/>
        <v/>
      </c>
      <c r="BE35" s="18"/>
      <c r="BF35" s="18" t="str">
        <f t="shared" si="4"/>
        <v/>
      </c>
      <c r="BG35" s="18" t="str">
        <f t="shared" si="5"/>
        <v/>
      </c>
      <c r="BH35" s="18"/>
    </row>
    <row r="36" spans="1:60" ht="8.25" customHeight="1">
      <c r="A36" s="1"/>
      <c r="B36" s="2"/>
      <c r="C36" s="3"/>
      <c r="D36" s="138"/>
      <c r="E36" s="4"/>
      <c r="F36" s="5"/>
      <c r="G36" s="6"/>
      <c r="H36" s="7"/>
      <c r="I36" s="7"/>
      <c r="J36" s="6"/>
      <c r="K36" s="7"/>
      <c r="L36" s="95"/>
      <c r="M36" s="12"/>
      <c r="N36" s="12"/>
      <c r="O36" s="2"/>
      <c r="P36" s="56"/>
      <c r="Q36" s="9"/>
      <c r="R36" s="10"/>
      <c r="S36" s="11"/>
      <c r="T36" s="12"/>
      <c r="U36" s="12"/>
      <c r="V36" s="12"/>
      <c r="W36" s="12"/>
      <c r="X36" s="2"/>
      <c r="Y36" s="2"/>
      <c r="Z36" s="2"/>
      <c r="AA36" s="2"/>
      <c r="AB36" s="59"/>
      <c r="AC36" s="62"/>
      <c r="AD36" s="2"/>
      <c r="AE36" s="2"/>
      <c r="AF36" s="2"/>
      <c r="AG36" s="2"/>
      <c r="AH36" s="2"/>
      <c r="AI36" s="12"/>
      <c r="AJ36" s="12"/>
      <c r="AK36" s="12"/>
      <c r="AL36" s="13"/>
      <c r="AM36" s="11"/>
      <c r="AN36" s="12"/>
      <c r="AO36" s="4"/>
      <c r="AP36" s="14"/>
      <c r="AQ36" s="2"/>
      <c r="AR36" s="15"/>
      <c r="AS36" s="16"/>
      <c r="AT36" s="15"/>
      <c r="AU36" s="17"/>
      <c r="AV36" s="18"/>
      <c r="AW36" s="18" t="str">
        <f t="shared" si="0"/>
        <v/>
      </c>
      <c r="AX36" s="18" t="str">
        <f t="shared" si="1"/>
        <v/>
      </c>
      <c r="AY36" s="18"/>
      <c r="AZ36" s="18"/>
      <c r="BA36" s="18"/>
      <c r="BB36" s="18"/>
      <c r="BC36" s="18" t="str">
        <f t="shared" si="2"/>
        <v/>
      </c>
      <c r="BD36" s="18" t="str">
        <f t="shared" si="3"/>
        <v/>
      </c>
      <c r="BE36" s="18"/>
      <c r="BF36" s="18" t="str">
        <f t="shared" si="4"/>
        <v/>
      </c>
      <c r="BG36" s="18" t="str">
        <f t="shared" si="5"/>
        <v/>
      </c>
      <c r="BH36" s="18"/>
    </row>
    <row r="37" spans="1:60" ht="8.25" customHeight="1">
      <c r="A37" s="1"/>
      <c r="B37" s="2"/>
      <c r="C37" s="3"/>
      <c r="D37" s="138"/>
      <c r="E37" s="4"/>
      <c r="F37" s="5"/>
      <c r="G37" s="6"/>
      <c r="H37" s="7"/>
      <c r="I37" s="7"/>
      <c r="J37" s="6"/>
      <c r="K37" s="7"/>
      <c r="L37" s="95"/>
      <c r="M37" s="12"/>
      <c r="N37" s="12"/>
      <c r="O37" s="2"/>
      <c r="P37" s="56"/>
      <c r="Q37" s="9"/>
      <c r="R37" s="10"/>
      <c r="S37" s="11"/>
      <c r="T37" s="12"/>
      <c r="U37" s="12"/>
      <c r="V37" s="12"/>
      <c r="W37" s="12"/>
      <c r="X37" s="2"/>
      <c r="Y37" s="2"/>
      <c r="Z37" s="2"/>
      <c r="AA37" s="2"/>
      <c r="AB37" s="59"/>
      <c r="AC37" s="62"/>
      <c r="AD37" s="2"/>
      <c r="AE37" s="2"/>
      <c r="AF37" s="2"/>
      <c r="AG37" s="2"/>
      <c r="AH37" s="2"/>
      <c r="AI37" s="12"/>
      <c r="AJ37" s="12"/>
      <c r="AK37" s="12"/>
      <c r="AL37" s="13"/>
      <c r="AM37" s="11"/>
      <c r="AN37" s="12"/>
      <c r="AO37" s="4"/>
      <c r="AP37" s="14"/>
      <c r="AQ37" s="2"/>
      <c r="AR37" s="16"/>
      <c r="AS37" s="16"/>
      <c r="AT37" s="16"/>
      <c r="AU37" s="51"/>
      <c r="AV37" s="18"/>
      <c r="AW37" s="18" t="str">
        <f t="shared" si="0"/>
        <v/>
      </c>
      <c r="AX37" s="18" t="str">
        <f t="shared" si="1"/>
        <v/>
      </c>
      <c r="AY37" s="18"/>
      <c r="AZ37" s="18"/>
      <c r="BA37" s="18"/>
      <c r="BB37" s="18"/>
      <c r="BC37" s="18" t="str">
        <f t="shared" si="2"/>
        <v/>
      </c>
      <c r="BD37" s="18" t="str">
        <f t="shared" si="3"/>
        <v/>
      </c>
      <c r="BE37" s="18"/>
      <c r="BF37" s="18" t="str">
        <f t="shared" si="4"/>
        <v/>
      </c>
      <c r="BG37" s="18" t="str">
        <f t="shared" si="5"/>
        <v/>
      </c>
      <c r="BH37" s="18"/>
    </row>
    <row r="38" spans="1:60" ht="8.25" customHeight="1">
      <c r="A38" s="1"/>
      <c r="B38" s="2"/>
      <c r="C38" s="3"/>
      <c r="D38" s="138"/>
      <c r="E38" s="4"/>
      <c r="F38" s="5"/>
      <c r="G38" s="6"/>
      <c r="H38" s="7"/>
      <c r="I38" s="7"/>
      <c r="J38" s="6"/>
      <c r="K38" s="7"/>
      <c r="L38" s="95"/>
      <c r="M38" s="12"/>
      <c r="N38" s="12"/>
      <c r="O38" s="2"/>
      <c r="P38" s="56"/>
      <c r="Q38" s="9"/>
      <c r="R38" s="10"/>
      <c r="S38" s="11"/>
      <c r="T38" s="12"/>
      <c r="U38" s="12"/>
      <c r="V38" s="12"/>
      <c r="W38" s="12"/>
      <c r="X38" s="2"/>
      <c r="Y38" s="2"/>
      <c r="Z38" s="2"/>
      <c r="AA38" s="2"/>
      <c r="AB38" s="59"/>
      <c r="AC38" s="62"/>
      <c r="AD38" s="2"/>
      <c r="AE38" s="2"/>
      <c r="AF38" s="2"/>
      <c r="AG38" s="2"/>
      <c r="AH38" s="2"/>
      <c r="AI38" s="12"/>
      <c r="AJ38" s="12"/>
      <c r="AK38" s="12"/>
      <c r="AL38" s="13"/>
      <c r="AM38" s="11"/>
      <c r="AN38" s="12"/>
      <c r="AO38" s="4"/>
      <c r="AP38" s="14"/>
      <c r="AQ38" s="2"/>
      <c r="AR38" s="15"/>
      <c r="AS38" s="16"/>
      <c r="AT38" s="15"/>
      <c r="AU38" s="17"/>
      <c r="AV38" s="18"/>
      <c r="AW38" s="18" t="str">
        <f t="shared" si="0"/>
        <v/>
      </c>
      <c r="AX38" s="18" t="str">
        <f t="shared" si="1"/>
        <v/>
      </c>
      <c r="AY38" s="18"/>
      <c r="AZ38" s="18"/>
      <c r="BA38" s="18"/>
      <c r="BB38" s="18"/>
      <c r="BC38" s="18" t="str">
        <f t="shared" si="2"/>
        <v/>
      </c>
      <c r="BD38" s="18" t="str">
        <f t="shared" si="3"/>
        <v/>
      </c>
      <c r="BE38" s="18"/>
      <c r="BF38" s="18" t="str">
        <f t="shared" si="4"/>
        <v/>
      </c>
      <c r="BG38" s="18" t="str">
        <f t="shared" si="5"/>
        <v/>
      </c>
      <c r="BH38" s="18"/>
    </row>
    <row r="39" spans="1:60" ht="8.25" customHeight="1">
      <c r="A39" s="1"/>
      <c r="B39" s="2"/>
      <c r="C39" s="3"/>
      <c r="D39" s="138"/>
      <c r="E39" s="4"/>
      <c r="F39" s="5"/>
      <c r="G39" s="6"/>
      <c r="H39" s="7"/>
      <c r="I39" s="7"/>
      <c r="J39" s="6"/>
      <c r="K39" s="7"/>
      <c r="L39" s="95"/>
      <c r="M39" s="12"/>
      <c r="N39" s="12"/>
      <c r="O39" s="2"/>
      <c r="P39" s="56"/>
      <c r="Q39" s="9"/>
      <c r="R39" s="10"/>
      <c r="S39" s="11"/>
      <c r="T39" s="12"/>
      <c r="U39" s="12"/>
      <c r="V39" s="12"/>
      <c r="W39" s="12"/>
      <c r="X39" s="2"/>
      <c r="Y39" s="2"/>
      <c r="Z39" s="2"/>
      <c r="AA39" s="2"/>
      <c r="AB39" s="59"/>
      <c r="AC39" s="62"/>
      <c r="AD39" s="2"/>
      <c r="AE39" s="2"/>
      <c r="AF39" s="2"/>
      <c r="AG39" s="2"/>
      <c r="AH39" s="2"/>
      <c r="AI39" s="12"/>
      <c r="AJ39" s="12"/>
      <c r="AK39" s="12"/>
      <c r="AL39" s="13"/>
      <c r="AM39" s="11"/>
      <c r="AN39" s="12"/>
      <c r="AO39" s="4"/>
      <c r="AP39" s="14"/>
      <c r="AQ39" s="2"/>
      <c r="AR39" s="15"/>
      <c r="AS39" s="16"/>
      <c r="AT39" s="15"/>
      <c r="AU39" s="17"/>
      <c r="AV39" s="18"/>
      <c r="AW39" s="18" t="str">
        <f t="shared" si="0"/>
        <v/>
      </c>
      <c r="AX39" s="18" t="str">
        <f t="shared" si="1"/>
        <v/>
      </c>
      <c r="AY39" s="18"/>
      <c r="AZ39" s="18"/>
      <c r="BA39" s="18"/>
      <c r="BB39" s="18"/>
      <c r="BC39" s="18" t="str">
        <f t="shared" si="2"/>
        <v/>
      </c>
      <c r="BD39" s="18" t="str">
        <f t="shared" si="3"/>
        <v/>
      </c>
      <c r="BE39" s="18"/>
      <c r="BF39" s="18" t="str">
        <f t="shared" si="4"/>
        <v/>
      </c>
      <c r="BG39" s="18" t="str">
        <f t="shared" si="5"/>
        <v/>
      </c>
      <c r="BH39" s="18"/>
    </row>
    <row r="40" spans="1:60" ht="8.25" customHeight="1">
      <c r="A40" s="1"/>
      <c r="B40" s="2"/>
      <c r="C40" s="3"/>
      <c r="D40" s="138"/>
      <c r="E40" s="4"/>
      <c r="F40" s="5"/>
      <c r="G40" s="6"/>
      <c r="H40" s="7"/>
      <c r="I40" s="7"/>
      <c r="J40" s="6"/>
      <c r="K40" s="7"/>
      <c r="L40" s="95"/>
      <c r="M40" s="12"/>
      <c r="N40" s="12"/>
      <c r="O40" s="2"/>
      <c r="P40" s="56"/>
      <c r="Q40" s="9"/>
      <c r="R40" s="10"/>
      <c r="S40" s="11"/>
      <c r="T40" s="12"/>
      <c r="U40" s="12"/>
      <c r="V40" s="12"/>
      <c r="W40" s="12"/>
      <c r="X40" s="2"/>
      <c r="Y40" s="2"/>
      <c r="Z40" s="2"/>
      <c r="AA40" s="2"/>
      <c r="AB40" s="59"/>
      <c r="AC40" s="62"/>
      <c r="AD40" s="2"/>
      <c r="AE40" s="2"/>
      <c r="AF40" s="2"/>
      <c r="AG40" s="2"/>
      <c r="AH40" s="2"/>
      <c r="AI40" s="12"/>
      <c r="AJ40" s="12"/>
      <c r="AK40" s="12"/>
      <c r="AL40" s="13"/>
      <c r="AM40" s="11"/>
      <c r="AN40" s="12"/>
      <c r="AO40" s="4"/>
      <c r="AP40" s="14"/>
      <c r="AQ40" s="2"/>
      <c r="AR40" s="15"/>
      <c r="AS40" s="16"/>
      <c r="AT40" s="15"/>
      <c r="AU40" s="17"/>
      <c r="AV40" s="18"/>
      <c r="AW40" s="18" t="str">
        <f t="shared" si="0"/>
        <v/>
      </c>
      <c r="AX40" s="18" t="str">
        <f t="shared" si="1"/>
        <v/>
      </c>
      <c r="AY40" s="18"/>
      <c r="AZ40" s="18"/>
      <c r="BA40" s="18"/>
      <c r="BB40" s="18"/>
      <c r="BC40" s="18" t="str">
        <f t="shared" si="2"/>
        <v/>
      </c>
      <c r="BD40" s="18" t="str">
        <f t="shared" si="3"/>
        <v/>
      </c>
      <c r="BE40" s="18"/>
      <c r="BF40" s="18" t="str">
        <f t="shared" si="4"/>
        <v/>
      </c>
      <c r="BG40" s="18" t="str">
        <f t="shared" si="5"/>
        <v/>
      </c>
      <c r="BH40" s="18"/>
    </row>
    <row r="41" spans="1:60" ht="8.25" customHeight="1">
      <c r="A41" s="1"/>
      <c r="B41" s="2"/>
      <c r="C41" s="3"/>
      <c r="D41" s="138"/>
      <c r="E41" s="4"/>
      <c r="F41" s="5"/>
      <c r="G41" s="6"/>
      <c r="H41" s="7"/>
      <c r="I41" s="7"/>
      <c r="J41" s="6"/>
      <c r="K41" s="7"/>
      <c r="L41" s="95"/>
      <c r="M41" s="12"/>
      <c r="N41" s="12"/>
      <c r="O41" s="2"/>
      <c r="P41" s="56"/>
      <c r="Q41" s="9"/>
      <c r="R41" s="10"/>
      <c r="S41" s="11"/>
      <c r="T41" s="12"/>
      <c r="U41" s="12"/>
      <c r="V41" s="12"/>
      <c r="W41" s="12"/>
      <c r="X41" s="2"/>
      <c r="Y41" s="2"/>
      <c r="Z41" s="2"/>
      <c r="AA41" s="2"/>
      <c r="AB41" s="59"/>
      <c r="AC41" s="62"/>
      <c r="AD41" s="2"/>
      <c r="AE41" s="2"/>
      <c r="AF41" s="2"/>
      <c r="AG41" s="2"/>
      <c r="AH41" s="2"/>
      <c r="AI41" s="12"/>
      <c r="AJ41" s="12"/>
      <c r="AK41" s="12"/>
      <c r="AL41" s="13"/>
      <c r="AM41" s="11"/>
      <c r="AN41" s="12"/>
      <c r="AO41" s="4"/>
      <c r="AP41" s="14"/>
      <c r="AQ41" s="2"/>
      <c r="AR41" s="16"/>
      <c r="AS41" s="16"/>
      <c r="AT41" s="16"/>
      <c r="AU41" s="51"/>
      <c r="AV41" s="18"/>
      <c r="AW41" s="18" t="str">
        <f t="shared" si="0"/>
        <v/>
      </c>
      <c r="AX41" s="18" t="str">
        <f t="shared" si="1"/>
        <v/>
      </c>
      <c r="AY41" s="18"/>
      <c r="AZ41" s="18"/>
      <c r="BA41" s="18"/>
      <c r="BB41" s="18"/>
      <c r="BC41" s="18" t="str">
        <f t="shared" si="2"/>
        <v/>
      </c>
      <c r="BD41" s="18" t="str">
        <f t="shared" si="3"/>
        <v/>
      </c>
      <c r="BE41" s="18"/>
      <c r="BF41" s="18" t="str">
        <f t="shared" si="4"/>
        <v/>
      </c>
      <c r="BG41" s="18" t="str">
        <f t="shared" si="5"/>
        <v/>
      </c>
      <c r="BH41" s="18"/>
    </row>
    <row r="42" spans="1:60" ht="8.25" customHeight="1">
      <c r="A42" s="1"/>
      <c r="B42" s="2"/>
      <c r="C42" s="3"/>
      <c r="D42" s="138"/>
      <c r="E42" s="4"/>
      <c r="F42" s="5"/>
      <c r="G42" s="6"/>
      <c r="H42" s="7"/>
      <c r="I42" s="7"/>
      <c r="J42" s="6"/>
      <c r="K42" s="7"/>
      <c r="L42" s="95"/>
      <c r="M42" s="12"/>
      <c r="N42" s="12"/>
      <c r="O42" s="2"/>
      <c r="P42" s="56"/>
      <c r="Q42" s="9"/>
      <c r="R42" s="10"/>
      <c r="S42" s="11"/>
      <c r="T42" s="12"/>
      <c r="U42" s="12"/>
      <c r="V42" s="12"/>
      <c r="W42" s="12"/>
      <c r="X42" s="2"/>
      <c r="Y42" s="2"/>
      <c r="Z42" s="2"/>
      <c r="AA42" s="2"/>
      <c r="AB42" s="59"/>
      <c r="AC42" s="62"/>
      <c r="AD42" s="2"/>
      <c r="AE42" s="2"/>
      <c r="AF42" s="2"/>
      <c r="AG42" s="2"/>
      <c r="AH42" s="2"/>
      <c r="AI42" s="12"/>
      <c r="AJ42" s="12"/>
      <c r="AK42" s="12"/>
      <c r="AL42" s="13"/>
      <c r="AM42" s="11"/>
      <c r="AN42" s="12"/>
      <c r="AO42" s="4"/>
      <c r="AP42" s="14"/>
      <c r="AQ42" s="2"/>
      <c r="AR42" s="16"/>
      <c r="AS42" s="16"/>
      <c r="AT42" s="16"/>
      <c r="AU42" s="51"/>
      <c r="AV42" s="18"/>
      <c r="AW42" s="18" t="str">
        <f t="shared" si="0"/>
        <v/>
      </c>
      <c r="AX42" s="18" t="str">
        <f t="shared" si="1"/>
        <v/>
      </c>
      <c r="AY42" s="18"/>
      <c r="AZ42" s="18"/>
      <c r="BA42" s="18"/>
      <c r="BB42" s="18"/>
      <c r="BC42" s="18" t="str">
        <f t="shared" si="2"/>
        <v/>
      </c>
      <c r="BD42" s="18" t="str">
        <f t="shared" si="3"/>
        <v/>
      </c>
      <c r="BE42" s="18"/>
      <c r="BF42" s="18" t="str">
        <f t="shared" si="4"/>
        <v/>
      </c>
      <c r="BG42" s="18" t="str">
        <f t="shared" si="5"/>
        <v/>
      </c>
      <c r="BH42" s="18"/>
    </row>
    <row r="43" spans="1:60" ht="8.25" customHeight="1">
      <c r="A43" s="1"/>
      <c r="B43" s="2"/>
      <c r="C43" s="3"/>
      <c r="D43" s="138"/>
      <c r="E43" s="4"/>
      <c r="F43" s="5"/>
      <c r="G43" s="6"/>
      <c r="H43" s="7"/>
      <c r="I43" s="7"/>
      <c r="J43" s="6"/>
      <c r="K43" s="7"/>
      <c r="L43" s="95"/>
      <c r="M43" s="12"/>
      <c r="N43" s="12"/>
      <c r="O43" s="2"/>
      <c r="P43" s="56"/>
      <c r="Q43" s="9"/>
      <c r="R43" s="10"/>
      <c r="S43" s="11"/>
      <c r="T43" s="12"/>
      <c r="U43" s="12"/>
      <c r="V43" s="12"/>
      <c r="W43" s="12"/>
      <c r="X43" s="2"/>
      <c r="Y43" s="2"/>
      <c r="Z43" s="2"/>
      <c r="AA43" s="2"/>
      <c r="AB43" s="59"/>
      <c r="AC43" s="62"/>
      <c r="AD43" s="2"/>
      <c r="AE43" s="2"/>
      <c r="AF43" s="2"/>
      <c r="AG43" s="2"/>
      <c r="AH43" s="2"/>
      <c r="AI43" s="12"/>
      <c r="AJ43" s="12"/>
      <c r="AK43" s="12"/>
      <c r="AL43" s="13"/>
      <c r="AM43" s="11"/>
      <c r="AN43" s="12"/>
      <c r="AO43" s="4"/>
      <c r="AP43" s="14"/>
      <c r="AQ43" s="2"/>
      <c r="AR43" s="15"/>
      <c r="AS43" s="16"/>
      <c r="AT43" s="15"/>
      <c r="AU43" s="17"/>
      <c r="AV43" s="18"/>
      <c r="AW43" s="18" t="str">
        <f t="shared" si="0"/>
        <v/>
      </c>
      <c r="AX43" s="18" t="str">
        <f t="shared" si="1"/>
        <v/>
      </c>
      <c r="AY43" s="18"/>
      <c r="AZ43" s="18"/>
      <c r="BA43" s="18"/>
      <c r="BB43" s="18"/>
      <c r="BC43" s="18" t="str">
        <f t="shared" si="2"/>
        <v/>
      </c>
      <c r="BD43" s="18" t="str">
        <f t="shared" si="3"/>
        <v/>
      </c>
      <c r="BE43" s="18"/>
      <c r="BF43" s="18" t="str">
        <f t="shared" si="4"/>
        <v/>
      </c>
      <c r="BG43" s="18" t="str">
        <f t="shared" si="5"/>
        <v/>
      </c>
      <c r="BH43" s="18"/>
    </row>
    <row r="44" spans="1:60" ht="8.25" customHeight="1">
      <c r="A44" s="1"/>
      <c r="B44" s="2"/>
      <c r="C44" s="3"/>
      <c r="D44" s="138"/>
      <c r="E44" s="4"/>
      <c r="F44" s="5"/>
      <c r="G44" s="6"/>
      <c r="H44" s="7"/>
      <c r="I44" s="7"/>
      <c r="J44" s="6"/>
      <c r="K44" s="7"/>
      <c r="L44" s="95"/>
      <c r="M44" s="12"/>
      <c r="N44" s="12"/>
      <c r="O44" s="2"/>
      <c r="P44" s="56"/>
      <c r="Q44" s="9"/>
      <c r="R44" s="10"/>
      <c r="S44" s="11"/>
      <c r="T44" s="12"/>
      <c r="U44" s="12"/>
      <c r="V44" s="12"/>
      <c r="W44" s="12"/>
      <c r="X44" s="2"/>
      <c r="Y44" s="2"/>
      <c r="Z44" s="2"/>
      <c r="AA44" s="2"/>
      <c r="AB44" s="59"/>
      <c r="AC44" s="62"/>
      <c r="AD44" s="2"/>
      <c r="AE44" s="2"/>
      <c r="AF44" s="2"/>
      <c r="AG44" s="2"/>
      <c r="AH44" s="2"/>
      <c r="AI44" s="12"/>
      <c r="AJ44" s="12"/>
      <c r="AK44" s="12"/>
      <c r="AL44" s="13"/>
      <c r="AM44" s="11"/>
      <c r="AN44" s="12"/>
      <c r="AO44" s="4"/>
      <c r="AP44" s="14"/>
      <c r="AQ44" s="2"/>
      <c r="AR44" s="15"/>
      <c r="AS44" s="16"/>
      <c r="AT44" s="15"/>
      <c r="AU44" s="17"/>
      <c r="AV44" s="18"/>
      <c r="AW44" s="18" t="str">
        <f t="shared" si="0"/>
        <v/>
      </c>
      <c r="AX44" s="18" t="str">
        <f t="shared" si="1"/>
        <v/>
      </c>
      <c r="AY44" s="18"/>
      <c r="AZ44" s="18"/>
      <c r="BA44" s="18"/>
      <c r="BB44" s="18"/>
      <c r="BC44" s="18" t="str">
        <f t="shared" si="2"/>
        <v/>
      </c>
      <c r="BD44" s="18" t="str">
        <f t="shared" si="3"/>
        <v/>
      </c>
      <c r="BE44" s="18"/>
      <c r="BF44" s="18" t="str">
        <f t="shared" si="4"/>
        <v/>
      </c>
      <c r="BG44" s="18" t="str">
        <f t="shared" si="5"/>
        <v/>
      </c>
      <c r="BH44" s="18"/>
    </row>
    <row r="45" spans="1:60" ht="8.25" customHeight="1">
      <c r="A45" s="1"/>
      <c r="B45" s="2"/>
      <c r="C45" s="3"/>
      <c r="D45" s="138"/>
      <c r="E45" s="4"/>
      <c r="F45" s="5"/>
      <c r="G45" s="6"/>
      <c r="H45" s="7"/>
      <c r="I45" s="7"/>
      <c r="J45" s="6"/>
      <c r="K45" s="7"/>
      <c r="L45" s="95"/>
      <c r="M45" s="12"/>
      <c r="N45" s="12"/>
      <c r="O45" s="2"/>
      <c r="P45" s="56"/>
      <c r="Q45" s="9"/>
      <c r="R45" s="10"/>
      <c r="S45" s="11"/>
      <c r="T45" s="12"/>
      <c r="U45" s="12"/>
      <c r="V45" s="12"/>
      <c r="W45" s="12"/>
      <c r="X45" s="2"/>
      <c r="Y45" s="2"/>
      <c r="Z45" s="2"/>
      <c r="AA45" s="2"/>
      <c r="AB45" s="59"/>
      <c r="AC45" s="62"/>
      <c r="AD45" s="2"/>
      <c r="AE45" s="2"/>
      <c r="AF45" s="2"/>
      <c r="AG45" s="2"/>
      <c r="AH45" s="2"/>
      <c r="AI45" s="12"/>
      <c r="AJ45" s="12"/>
      <c r="AK45" s="12"/>
      <c r="AL45" s="13"/>
      <c r="AM45" s="11"/>
      <c r="AN45" s="12"/>
      <c r="AO45" s="4"/>
      <c r="AP45" s="14"/>
      <c r="AQ45" s="2"/>
      <c r="AR45" s="15"/>
      <c r="AS45" s="16"/>
      <c r="AT45" s="15"/>
      <c r="AU45" s="17"/>
      <c r="AV45" s="18"/>
      <c r="AW45" s="18" t="str">
        <f t="shared" si="0"/>
        <v/>
      </c>
      <c r="AX45" s="18" t="str">
        <f t="shared" si="1"/>
        <v/>
      </c>
      <c r="AY45" s="18"/>
      <c r="AZ45" s="18"/>
      <c r="BA45" s="18"/>
      <c r="BB45" s="18"/>
      <c r="BC45" s="18" t="str">
        <f t="shared" si="2"/>
        <v/>
      </c>
      <c r="BD45" s="18" t="str">
        <f t="shared" si="3"/>
        <v/>
      </c>
      <c r="BE45" s="18"/>
      <c r="BF45" s="18" t="str">
        <f t="shared" si="4"/>
        <v/>
      </c>
      <c r="BG45" s="18" t="str">
        <f t="shared" si="5"/>
        <v/>
      </c>
      <c r="BH45" s="18"/>
    </row>
    <row r="46" spans="1:60" ht="8.25" customHeight="1">
      <c r="A46" s="1"/>
      <c r="B46" s="2"/>
      <c r="C46" s="3"/>
      <c r="D46" s="138"/>
      <c r="E46" s="4"/>
      <c r="F46" s="5"/>
      <c r="G46" s="6"/>
      <c r="H46" s="7"/>
      <c r="I46" s="7"/>
      <c r="J46" s="6"/>
      <c r="K46" s="7"/>
      <c r="L46" s="95"/>
      <c r="M46" s="12"/>
      <c r="N46" s="12"/>
      <c r="O46" s="2"/>
      <c r="P46" s="56"/>
      <c r="Q46" s="9"/>
      <c r="R46" s="10"/>
      <c r="S46" s="11"/>
      <c r="T46" s="12"/>
      <c r="U46" s="12"/>
      <c r="V46" s="12"/>
      <c r="W46" s="12"/>
      <c r="X46" s="2"/>
      <c r="Y46" s="2"/>
      <c r="Z46" s="2"/>
      <c r="AA46" s="2"/>
      <c r="AB46" s="59"/>
      <c r="AC46" s="62"/>
      <c r="AD46" s="2"/>
      <c r="AE46" s="2"/>
      <c r="AF46" s="2"/>
      <c r="AG46" s="2"/>
      <c r="AH46" s="2"/>
      <c r="AI46" s="12"/>
      <c r="AJ46" s="12"/>
      <c r="AK46" s="12"/>
      <c r="AL46" s="13"/>
      <c r="AM46" s="11"/>
      <c r="AN46" s="12"/>
      <c r="AO46" s="4"/>
      <c r="AP46" s="14"/>
      <c r="AQ46" s="2"/>
      <c r="AR46" s="16"/>
      <c r="AS46" s="16"/>
      <c r="AT46" s="16"/>
      <c r="AU46" s="51"/>
      <c r="AV46" s="18"/>
      <c r="AW46" s="18" t="str">
        <f t="shared" si="0"/>
        <v/>
      </c>
      <c r="AX46" s="18" t="str">
        <f t="shared" si="1"/>
        <v/>
      </c>
      <c r="AY46" s="18"/>
      <c r="AZ46" s="18"/>
      <c r="BA46" s="18"/>
      <c r="BB46" s="18"/>
      <c r="BC46" s="18" t="str">
        <f t="shared" si="2"/>
        <v/>
      </c>
      <c r="BD46" s="18" t="str">
        <f t="shared" si="3"/>
        <v/>
      </c>
      <c r="BE46" s="18"/>
      <c r="BF46" s="18" t="str">
        <f t="shared" si="4"/>
        <v/>
      </c>
      <c r="BG46" s="18" t="str">
        <f t="shared" si="5"/>
        <v/>
      </c>
      <c r="BH46" s="18"/>
    </row>
    <row r="47" spans="1:60" ht="8.25" customHeight="1">
      <c r="A47" s="1"/>
      <c r="B47" s="2"/>
      <c r="C47" s="3"/>
      <c r="D47" s="138"/>
      <c r="E47" s="4"/>
      <c r="F47" s="5"/>
      <c r="G47" s="6"/>
      <c r="H47" s="7"/>
      <c r="I47" s="7"/>
      <c r="J47" s="6"/>
      <c r="K47" s="7"/>
      <c r="L47" s="95"/>
      <c r="M47" s="12"/>
      <c r="N47" s="12"/>
      <c r="O47" s="2"/>
      <c r="P47" s="56"/>
      <c r="Q47" s="9"/>
      <c r="R47" s="10"/>
      <c r="S47" s="11"/>
      <c r="T47" s="12"/>
      <c r="U47" s="12"/>
      <c r="V47" s="12"/>
      <c r="W47" s="12"/>
      <c r="X47" s="2"/>
      <c r="Y47" s="2"/>
      <c r="Z47" s="2"/>
      <c r="AA47" s="2"/>
      <c r="AB47" s="59"/>
      <c r="AC47" s="62"/>
      <c r="AD47" s="2"/>
      <c r="AE47" s="2"/>
      <c r="AF47" s="2"/>
      <c r="AG47" s="2"/>
      <c r="AH47" s="2"/>
      <c r="AI47" s="12"/>
      <c r="AJ47" s="12"/>
      <c r="AK47" s="12"/>
      <c r="AL47" s="13"/>
      <c r="AM47" s="11"/>
      <c r="AN47" s="12"/>
      <c r="AO47" s="4"/>
      <c r="AP47" s="14"/>
      <c r="AQ47" s="2"/>
      <c r="AR47" s="15"/>
      <c r="AS47" s="16"/>
      <c r="AT47" s="15"/>
      <c r="AU47" s="17"/>
      <c r="AV47" s="18"/>
      <c r="AW47" s="18" t="str">
        <f t="shared" si="0"/>
        <v/>
      </c>
      <c r="AX47" s="18" t="str">
        <f t="shared" si="1"/>
        <v/>
      </c>
      <c r="AY47" s="18"/>
      <c r="AZ47" s="18"/>
      <c r="BA47" s="18"/>
      <c r="BB47" s="18"/>
      <c r="BC47" s="18" t="str">
        <f t="shared" si="2"/>
        <v/>
      </c>
      <c r="BD47" s="18" t="str">
        <f t="shared" si="3"/>
        <v/>
      </c>
      <c r="BE47" s="18"/>
      <c r="BF47" s="18" t="str">
        <f t="shared" si="4"/>
        <v/>
      </c>
      <c r="BG47" s="18" t="str">
        <f t="shared" si="5"/>
        <v/>
      </c>
      <c r="BH47" s="18"/>
    </row>
    <row r="48" spans="1:60" ht="8.25" customHeight="1">
      <c r="A48" s="1"/>
      <c r="B48" s="2"/>
      <c r="C48" s="3"/>
      <c r="D48" s="138"/>
      <c r="E48" s="4"/>
      <c r="F48" s="5"/>
      <c r="G48" s="6"/>
      <c r="H48" s="7"/>
      <c r="I48" s="7"/>
      <c r="J48" s="6"/>
      <c r="K48" s="7"/>
      <c r="L48" s="95"/>
      <c r="M48" s="12"/>
      <c r="N48" s="12"/>
      <c r="O48" s="2"/>
      <c r="P48" s="56"/>
      <c r="Q48" s="9"/>
      <c r="R48" s="10"/>
      <c r="S48" s="11"/>
      <c r="T48" s="12"/>
      <c r="U48" s="12"/>
      <c r="V48" s="12"/>
      <c r="W48" s="12"/>
      <c r="X48" s="2"/>
      <c r="Y48" s="2"/>
      <c r="Z48" s="2"/>
      <c r="AA48" s="2"/>
      <c r="AB48" s="59"/>
      <c r="AC48" s="62"/>
      <c r="AD48" s="2"/>
      <c r="AE48" s="2"/>
      <c r="AF48" s="2"/>
      <c r="AG48" s="2"/>
      <c r="AH48" s="2"/>
      <c r="AI48" s="12"/>
      <c r="AJ48" s="12"/>
      <c r="AK48" s="12"/>
      <c r="AL48" s="13"/>
      <c r="AM48" s="11"/>
      <c r="AN48" s="12"/>
      <c r="AO48" s="4"/>
      <c r="AP48" s="14"/>
      <c r="AQ48" s="2"/>
      <c r="AR48" s="15"/>
      <c r="AS48" s="16"/>
      <c r="AT48" s="15"/>
      <c r="AU48" s="17"/>
      <c r="AV48" s="18"/>
      <c r="AW48" s="18" t="str">
        <f t="shared" si="0"/>
        <v/>
      </c>
      <c r="AX48" s="18" t="str">
        <f t="shared" si="1"/>
        <v/>
      </c>
      <c r="AY48" s="18"/>
      <c r="AZ48" s="18"/>
      <c r="BA48" s="18"/>
      <c r="BB48" s="18"/>
      <c r="BC48" s="18" t="str">
        <f t="shared" si="2"/>
        <v/>
      </c>
      <c r="BD48" s="18" t="str">
        <f t="shared" si="3"/>
        <v/>
      </c>
      <c r="BE48" s="18"/>
      <c r="BF48" s="18" t="str">
        <f t="shared" si="4"/>
        <v/>
      </c>
      <c r="BG48" s="18" t="str">
        <f t="shared" si="5"/>
        <v/>
      </c>
      <c r="BH48" s="18"/>
    </row>
    <row r="49" spans="1:60" ht="8.25" customHeight="1">
      <c r="A49" s="1"/>
      <c r="B49" s="2"/>
      <c r="C49" s="3"/>
      <c r="D49" s="138"/>
      <c r="E49" s="4"/>
      <c r="F49" s="5"/>
      <c r="G49" s="6"/>
      <c r="H49" s="7"/>
      <c r="I49" s="7"/>
      <c r="J49" s="6"/>
      <c r="K49" s="7"/>
      <c r="L49" s="95"/>
      <c r="M49" s="12"/>
      <c r="N49" s="12"/>
      <c r="O49" s="2"/>
      <c r="P49" s="56"/>
      <c r="Q49" s="9"/>
      <c r="R49" s="10"/>
      <c r="S49" s="11"/>
      <c r="T49" s="12"/>
      <c r="U49" s="12"/>
      <c r="V49" s="12"/>
      <c r="W49" s="12"/>
      <c r="X49" s="2"/>
      <c r="Y49" s="2"/>
      <c r="Z49" s="2"/>
      <c r="AA49" s="2"/>
      <c r="AB49" s="59"/>
      <c r="AC49" s="62"/>
      <c r="AD49" s="2"/>
      <c r="AE49" s="2"/>
      <c r="AF49" s="2"/>
      <c r="AG49" s="2"/>
      <c r="AH49" s="2"/>
      <c r="AI49" s="12"/>
      <c r="AJ49" s="12"/>
      <c r="AK49" s="12"/>
      <c r="AL49" s="13"/>
      <c r="AM49" s="11"/>
      <c r="AN49" s="12"/>
      <c r="AO49" s="4"/>
      <c r="AP49" s="14"/>
      <c r="AQ49" s="2"/>
      <c r="AR49" s="15"/>
      <c r="AS49" s="16"/>
      <c r="AT49" s="15"/>
      <c r="AU49" s="17"/>
      <c r="AV49" s="18"/>
      <c r="AW49" s="18" t="str">
        <f t="shared" si="0"/>
        <v/>
      </c>
      <c r="AX49" s="18" t="str">
        <f t="shared" si="1"/>
        <v/>
      </c>
      <c r="AY49" s="18"/>
      <c r="AZ49" s="18"/>
      <c r="BA49" s="18"/>
      <c r="BB49" s="18"/>
      <c r="BC49" s="18" t="str">
        <f t="shared" si="2"/>
        <v/>
      </c>
      <c r="BD49" s="18" t="str">
        <f t="shared" si="3"/>
        <v/>
      </c>
      <c r="BE49" s="18"/>
      <c r="BF49" s="18" t="str">
        <f t="shared" si="4"/>
        <v/>
      </c>
      <c r="BG49" s="18" t="str">
        <f t="shared" si="5"/>
        <v/>
      </c>
      <c r="BH49" s="18"/>
    </row>
    <row r="50" spans="1:60" ht="8.25" customHeight="1" thickBot="1">
      <c r="A50" s="31"/>
      <c r="B50" s="32"/>
      <c r="C50" s="33"/>
      <c r="D50" s="34"/>
      <c r="E50" s="35"/>
      <c r="F50" s="36"/>
      <c r="G50" s="32"/>
      <c r="H50" s="37"/>
      <c r="I50" s="37"/>
      <c r="J50" s="32"/>
      <c r="K50" s="37"/>
      <c r="L50" s="37"/>
      <c r="M50" s="39"/>
      <c r="N50" s="39"/>
      <c r="O50" s="32"/>
      <c r="P50" s="57"/>
      <c r="Q50" s="41"/>
      <c r="R50" s="42"/>
      <c r="S50" s="43"/>
      <c r="T50" s="39"/>
      <c r="U50" s="39"/>
      <c r="V50" s="39"/>
      <c r="W50" s="39"/>
      <c r="X50" s="39"/>
      <c r="Y50" s="39"/>
      <c r="Z50" s="39"/>
      <c r="AA50" s="39"/>
      <c r="AB50" s="60"/>
      <c r="AC50" s="63"/>
      <c r="AD50" s="39"/>
      <c r="AE50" s="39"/>
      <c r="AF50" s="39"/>
      <c r="AG50" s="39"/>
      <c r="AH50" s="39"/>
      <c r="AI50" s="39"/>
      <c r="AJ50" s="39"/>
      <c r="AK50" s="39"/>
      <c r="AL50" s="40"/>
      <c r="AM50" s="43"/>
      <c r="AN50" s="39"/>
      <c r="AO50" s="35"/>
      <c r="AP50" s="43"/>
      <c r="AQ50" s="37"/>
      <c r="AR50" s="37"/>
      <c r="AS50" s="32"/>
      <c r="AT50" s="37"/>
      <c r="AU50" s="44"/>
      <c r="AV50" s="18"/>
      <c r="AW50" s="18" t="str">
        <f t="shared" si="0"/>
        <v/>
      </c>
      <c r="AX50" s="18" t="str">
        <f t="shared" si="1"/>
        <v/>
      </c>
      <c r="AY50" s="18"/>
      <c r="AZ50" s="18"/>
      <c r="BA50" s="18"/>
      <c r="BB50" s="18"/>
      <c r="BC50" s="18" t="str">
        <f t="shared" si="2"/>
        <v/>
      </c>
      <c r="BD50" s="18" t="str">
        <f t="shared" si="3"/>
        <v/>
      </c>
      <c r="BE50" s="18"/>
      <c r="BF50" s="18" t="str">
        <f t="shared" si="4"/>
        <v/>
      </c>
      <c r="BG50" s="18" t="str">
        <f t="shared" si="5"/>
        <v/>
      </c>
      <c r="BH50" s="18"/>
    </row>
    <row r="51" spans="1:60" ht="9" customHeight="1" thickBot="1">
      <c r="A51" s="74"/>
      <c r="B51" s="74"/>
      <c r="C51" s="18"/>
      <c r="D51" s="74"/>
      <c r="E51" s="74"/>
      <c r="F51" s="18"/>
      <c r="G51" s="18"/>
      <c r="H51" s="18"/>
      <c r="I51" s="74"/>
      <c r="J51" s="75"/>
      <c r="K51" s="74"/>
      <c r="L51" s="337"/>
      <c r="M51" s="332"/>
      <c r="N51" s="332"/>
      <c r="O51" s="74"/>
      <c r="P51" s="74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</row>
    <row r="52" spans="1:60" ht="8.25" customHeight="1">
      <c r="A52" s="74"/>
      <c r="B52" s="74"/>
      <c r="C52" s="74"/>
      <c r="D52" s="74"/>
      <c r="E52" s="74"/>
      <c r="F52" s="18"/>
      <c r="G52" s="18"/>
      <c r="H52" s="18"/>
      <c r="I52" s="74"/>
      <c r="J52" s="75"/>
      <c r="K52" s="74"/>
      <c r="L52" s="337"/>
      <c r="M52" s="332"/>
      <c r="N52" s="332"/>
      <c r="O52" s="74"/>
      <c r="P52" s="74"/>
      <c r="Q52" s="18"/>
      <c r="R52" s="111" t="s">
        <v>59</v>
      </c>
      <c r="S52" s="86">
        <f>AVERAGE(S$5:S50)</f>
        <v>0</v>
      </c>
      <c r="T52" s="86">
        <f>AVERAGE(T$5:T50)</f>
        <v>0</v>
      </c>
      <c r="U52" s="86">
        <f>AVERAGE(U$5:U50)</f>
        <v>0</v>
      </c>
      <c r="V52" s="86">
        <f>AVERAGE(V$5:V50)</f>
        <v>0</v>
      </c>
      <c r="W52" s="86">
        <f>AVERAGE(W$5:W50)</f>
        <v>0</v>
      </c>
      <c r="X52" s="86">
        <f>AVERAGE(X$5:X50)</f>
        <v>0</v>
      </c>
      <c r="Y52" s="86" t="s">
        <v>57</v>
      </c>
      <c r="Z52" s="86" t="s">
        <v>57</v>
      </c>
      <c r="AA52" s="86" t="e">
        <f>AVERAGE(AA$18:AA50)</f>
        <v>#DIV/0!</v>
      </c>
      <c r="AB52" s="86" t="e">
        <f>AVERAGE(AB$18:AB50)</f>
        <v>#DIV/0!</v>
      </c>
      <c r="AC52" s="86">
        <f>AVERAGE(AC$5:AC50)</f>
        <v>0</v>
      </c>
      <c r="AD52" s="86">
        <f>AVERAGE(AD$5:AD50)</f>
        <v>0</v>
      </c>
      <c r="AE52" s="86">
        <f>AVERAGE(AE$5:AE50)</f>
        <v>0</v>
      </c>
      <c r="AF52" s="86">
        <f>AVERAGE(AF$5:AF50)</f>
        <v>0</v>
      </c>
      <c r="AG52" s="86">
        <f>AVERAGE(AG$5:AG50)</f>
        <v>0</v>
      </c>
      <c r="AH52" s="86">
        <f>AVERAGE(AH$5:AH50)</f>
        <v>0</v>
      </c>
      <c r="AI52" s="86" t="s">
        <v>57</v>
      </c>
      <c r="AJ52" s="87" t="s">
        <v>57</v>
      </c>
      <c r="AK52" s="83" t="e">
        <f>AVERAGE(AK$18:AK50)</f>
        <v>#DIV/0!</v>
      </c>
      <c r="AL52" s="46" t="e">
        <f>AVERAGE(AL$18:AL50)</f>
        <v>#DIV/0!</v>
      </c>
      <c r="AM52" s="72"/>
      <c r="AN52" s="18"/>
      <c r="AO52" s="18"/>
      <c r="AP52" s="47" t="s">
        <v>60</v>
      </c>
      <c r="AQ52" s="45" t="s">
        <v>61</v>
      </c>
      <c r="AR52" s="45" t="s">
        <v>62</v>
      </c>
      <c r="AS52" s="46" t="s">
        <v>41</v>
      </c>
      <c r="AT52" s="18"/>
      <c r="AU52" s="18"/>
      <c r="AV52" s="18"/>
      <c r="AW52" s="76">
        <f t="shared" ref="AW52:BH52" si="6">SUM(AW5:AW50)</f>
        <v>66000</v>
      </c>
      <c r="AX52" s="76">
        <f t="shared" si="6"/>
        <v>66</v>
      </c>
      <c r="AY52" s="76">
        <f t="shared" si="6"/>
        <v>0</v>
      </c>
      <c r="AZ52" s="76">
        <f t="shared" si="6"/>
        <v>0</v>
      </c>
      <c r="BA52" s="76">
        <f t="shared" si="6"/>
        <v>0</v>
      </c>
      <c r="BB52" s="76">
        <f t="shared" si="6"/>
        <v>0</v>
      </c>
      <c r="BC52" s="76">
        <f t="shared" si="6"/>
        <v>88000</v>
      </c>
      <c r="BD52" s="76">
        <f t="shared" si="6"/>
        <v>88</v>
      </c>
      <c r="BE52" s="76">
        <f t="shared" si="6"/>
        <v>0</v>
      </c>
      <c r="BF52" s="76">
        <f t="shared" si="6"/>
        <v>4224</v>
      </c>
      <c r="BG52" s="76">
        <f t="shared" si="6"/>
        <v>44</v>
      </c>
      <c r="BH52" s="76">
        <f t="shared" si="6"/>
        <v>0</v>
      </c>
    </row>
    <row r="53" spans="1:60" ht="8.25" customHeight="1">
      <c r="A53" s="74"/>
      <c r="B53" s="74"/>
      <c r="C53" s="74"/>
      <c r="D53" s="74"/>
      <c r="E53" s="74"/>
      <c r="F53" s="18"/>
      <c r="G53" s="18"/>
      <c r="H53" s="18"/>
      <c r="I53" s="74"/>
      <c r="J53" s="75"/>
      <c r="K53" s="74"/>
      <c r="L53" s="337"/>
      <c r="M53" s="332"/>
      <c r="N53" s="332"/>
      <c r="O53" s="74"/>
      <c r="P53" s="74"/>
      <c r="Q53" s="18"/>
      <c r="R53" s="112" t="s">
        <v>63</v>
      </c>
      <c r="S53" s="2">
        <f>MIN(S$5:S50)</f>
        <v>0</v>
      </c>
      <c r="T53" s="2">
        <f>MIN(T$5:T50)</f>
        <v>0</v>
      </c>
      <c r="U53" s="2">
        <f>MIN(U$5:U50)</f>
        <v>0</v>
      </c>
      <c r="V53" s="2">
        <f>MIN(V$5:V50)</f>
        <v>0</v>
      </c>
      <c r="W53" s="2">
        <f>MIN(W$5:W50)</f>
        <v>0</v>
      </c>
      <c r="X53" s="2">
        <f>MIN(X$5:X50)</f>
        <v>0</v>
      </c>
      <c r="Y53" s="2" t="s">
        <v>57</v>
      </c>
      <c r="Z53" s="2" t="s">
        <v>57</v>
      </c>
      <c r="AA53" s="2">
        <f>MIN(AA$18:AA50)</f>
        <v>0</v>
      </c>
      <c r="AB53" s="2">
        <f>MIN(AB$18:AB50)</f>
        <v>0</v>
      </c>
      <c r="AC53" s="2">
        <f>MIN(AC$5:AC50)</f>
        <v>0</v>
      </c>
      <c r="AD53" s="2">
        <f>MIN(AD$5:AD50)</f>
        <v>0</v>
      </c>
      <c r="AE53" s="2">
        <f>MIN(AE$5:AE50)</f>
        <v>0</v>
      </c>
      <c r="AF53" s="2">
        <f>MIN(AF$5:AF50)</f>
        <v>0</v>
      </c>
      <c r="AG53" s="2">
        <f>MIN(AG$5:AG50)</f>
        <v>0</v>
      </c>
      <c r="AH53" s="2">
        <f>MIN(AH$5:AH50)</f>
        <v>0</v>
      </c>
      <c r="AI53" s="2" t="s">
        <v>57</v>
      </c>
      <c r="AJ53" s="88" t="s">
        <v>57</v>
      </c>
      <c r="AK53" s="84">
        <f>MIN(AK$18:AK50)</f>
        <v>0</v>
      </c>
      <c r="AL53" s="29">
        <f>MIN(AL$18:AL50)</f>
        <v>0</v>
      </c>
      <c r="AM53" s="72"/>
      <c r="AN53" s="18"/>
      <c r="AO53" s="18"/>
      <c r="AP53" s="48" t="s">
        <v>64</v>
      </c>
      <c r="AQ53" s="2" t="s">
        <v>65</v>
      </c>
      <c r="AR53" s="2">
        <f>SUM(AN5:AN50)</f>
        <v>154</v>
      </c>
      <c r="AS53" s="29">
        <f>SUM(AM18:AM50)</f>
        <v>0</v>
      </c>
      <c r="AT53" s="18"/>
      <c r="AU53" s="18"/>
      <c r="AV53" s="18"/>
      <c r="AW53" s="77" t="s">
        <v>45</v>
      </c>
      <c r="AX53" s="77" t="s">
        <v>46</v>
      </c>
      <c r="AY53" s="77" t="s">
        <v>47</v>
      </c>
      <c r="AZ53" s="77" t="s">
        <v>48</v>
      </c>
      <c r="BA53" s="77" t="s">
        <v>49</v>
      </c>
      <c r="BB53" s="77" t="s">
        <v>50</v>
      </c>
      <c r="BC53" s="77" t="s">
        <v>51</v>
      </c>
      <c r="BD53" s="77" t="s">
        <v>52</v>
      </c>
      <c r="BE53" s="77" t="s">
        <v>53</v>
      </c>
      <c r="BF53" s="77" t="s">
        <v>54</v>
      </c>
      <c r="BG53" s="77" t="s">
        <v>55</v>
      </c>
      <c r="BH53" s="77" t="s">
        <v>56</v>
      </c>
    </row>
    <row r="54" spans="1:60" ht="8.25" customHeight="1">
      <c r="A54" s="74"/>
      <c r="B54" s="74"/>
      <c r="C54" s="74"/>
      <c r="D54" s="74"/>
      <c r="E54" s="74"/>
      <c r="F54" s="18"/>
      <c r="G54" s="18"/>
      <c r="H54" s="18"/>
      <c r="I54" s="74"/>
      <c r="J54" s="75"/>
      <c r="K54" s="74"/>
      <c r="L54" s="337"/>
      <c r="M54" s="332"/>
      <c r="N54" s="332"/>
      <c r="O54" s="74"/>
      <c r="P54" s="74"/>
      <c r="Q54" s="18"/>
      <c r="R54" s="112" t="s">
        <v>146</v>
      </c>
      <c r="S54" s="2">
        <f>MAX(S$5:S50)</f>
        <v>0</v>
      </c>
      <c r="T54" s="2">
        <f>MAX(T$5:T50)</f>
        <v>0</v>
      </c>
      <c r="U54" s="2">
        <f>MAX(U$5:U50)</f>
        <v>0</v>
      </c>
      <c r="V54" s="2">
        <f>MAX(V$5:V50)</f>
        <v>0</v>
      </c>
      <c r="W54" s="2">
        <f>MAX(W$5:W50)</f>
        <v>0</v>
      </c>
      <c r="X54" s="2">
        <f>MAX(X$5:X50)</f>
        <v>0</v>
      </c>
      <c r="Y54" s="2" t="s">
        <v>57</v>
      </c>
      <c r="Z54" s="2" t="s">
        <v>57</v>
      </c>
      <c r="AA54" s="2">
        <f>MAX(AA$18:AA50)</f>
        <v>0</v>
      </c>
      <c r="AB54" s="2">
        <f>MAX(AB$18:AB50)</f>
        <v>0</v>
      </c>
      <c r="AC54" s="2">
        <f>MAX(AC$5:AC50)</f>
        <v>0</v>
      </c>
      <c r="AD54" s="2">
        <f>MAX(AD$5:AD50)</f>
        <v>0</v>
      </c>
      <c r="AE54" s="2">
        <f>MAX(AE$5:AE50)</f>
        <v>0</v>
      </c>
      <c r="AF54" s="2">
        <f>MAX(AF$5:AF50)</f>
        <v>0</v>
      </c>
      <c r="AG54" s="2">
        <f>MAX(AG$5:AG50)</f>
        <v>0</v>
      </c>
      <c r="AH54" s="2">
        <f>MAX(AH$5:AH50)</f>
        <v>0</v>
      </c>
      <c r="AI54" s="2" t="s">
        <v>57</v>
      </c>
      <c r="AJ54" s="88" t="s">
        <v>57</v>
      </c>
      <c r="AK54" s="84">
        <f>MAX(AK$18:AK50)</f>
        <v>0</v>
      </c>
      <c r="AL54" s="29">
        <f>MAX(AL$18:AL50)</f>
        <v>0</v>
      </c>
      <c r="AM54" s="72"/>
      <c r="AN54" s="18"/>
      <c r="AO54" s="18"/>
      <c r="AP54" s="48" t="s">
        <v>46</v>
      </c>
      <c r="AQ54" s="2">
        <f>AW52</f>
        <v>66000</v>
      </c>
      <c r="AR54" s="2">
        <f>AX52</f>
        <v>66</v>
      </c>
      <c r="AS54" s="29">
        <f>AY52</f>
        <v>0</v>
      </c>
      <c r="AT54" s="18"/>
      <c r="AU54" s="18"/>
      <c r="AV54" s="18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</row>
    <row r="55" spans="1:60" ht="8.25" customHeight="1">
      <c r="A55" s="74"/>
      <c r="B55" s="74"/>
      <c r="C55" s="74"/>
      <c r="D55" s="74"/>
      <c r="E55" s="74"/>
      <c r="F55" s="18"/>
      <c r="G55" s="18"/>
      <c r="H55" s="18"/>
      <c r="I55" s="74"/>
      <c r="J55" s="75"/>
      <c r="K55" s="74"/>
      <c r="L55" s="18"/>
      <c r="M55" s="18"/>
      <c r="N55" s="18"/>
      <c r="O55" s="74"/>
      <c r="P55" s="74"/>
      <c r="Q55" s="18"/>
      <c r="R55" s="112" t="s">
        <v>66</v>
      </c>
      <c r="S55" s="2">
        <f>STDEV(S$5:S50)</f>
        <v>0</v>
      </c>
      <c r="T55" s="2">
        <f>STDEV(T$5:T50)</f>
        <v>0</v>
      </c>
      <c r="U55" s="2">
        <f>STDEV(U$5:U50)</f>
        <v>0</v>
      </c>
      <c r="V55" s="2">
        <f>STDEV(V$5:V50)</f>
        <v>0</v>
      </c>
      <c r="W55" s="2">
        <f>STDEV(W$5:W50)</f>
        <v>0</v>
      </c>
      <c r="X55" s="2">
        <f>STDEV(X$5:X50)</f>
        <v>0</v>
      </c>
      <c r="Y55" s="2" t="s">
        <v>57</v>
      </c>
      <c r="Z55" s="2" t="s">
        <v>57</v>
      </c>
      <c r="AA55" s="2" t="e">
        <f>STDEV(AA$18:AA50)</f>
        <v>#DIV/0!</v>
      </c>
      <c r="AB55" s="2" t="e">
        <f>STDEV(AB$18:AB50)</f>
        <v>#DIV/0!</v>
      </c>
      <c r="AC55" s="2">
        <f>STDEV(AC$5:AC50)</f>
        <v>0</v>
      </c>
      <c r="AD55" s="2">
        <f>STDEV(AD$5:AD50)</f>
        <v>0</v>
      </c>
      <c r="AE55" s="2">
        <f>STDEV(AE$5:AE50)</f>
        <v>0</v>
      </c>
      <c r="AF55" s="2">
        <f>STDEV(AF$5:AF50)</f>
        <v>0</v>
      </c>
      <c r="AG55" s="2">
        <f>STDEV(AG$5:AG50)</f>
        <v>0</v>
      </c>
      <c r="AH55" s="2">
        <f>STDEV(AH$5:AH50)</f>
        <v>0</v>
      </c>
      <c r="AI55" s="2" t="s">
        <v>57</v>
      </c>
      <c r="AJ55" s="88" t="s">
        <v>57</v>
      </c>
      <c r="AK55" s="84" t="e">
        <f>STDEV(AK$18:AK50)</f>
        <v>#DIV/0!</v>
      </c>
      <c r="AL55" s="29" t="e">
        <f>STDEV(AL$18:AL50)</f>
        <v>#DIV/0!</v>
      </c>
      <c r="AM55" s="72"/>
      <c r="AN55" s="18"/>
      <c r="AO55" s="18"/>
      <c r="AP55" s="48" t="s">
        <v>49</v>
      </c>
      <c r="AQ55" s="2">
        <f>AZ52</f>
        <v>0</v>
      </c>
      <c r="AR55" s="2">
        <f>BA52</f>
        <v>0</v>
      </c>
      <c r="AS55" s="29">
        <f>BB52</f>
        <v>0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</row>
    <row r="56" spans="1:60" ht="9" customHeight="1" thickBot="1">
      <c r="A56" s="74"/>
      <c r="B56" s="74"/>
      <c r="C56" s="74"/>
      <c r="D56" s="74"/>
      <c r="E56" s="74"/>
      <c r="F56" s="18"/>
      <c r="G56" s="18"/>
      <c r="H56" s="18"/>
      <c r="I56" s="74"/>
      <c r="J56" s="75"/>
      <c r="K56" s="74"/>
      <c r="L56" s="18"/>
      <c r="M56" s="18"/>
      <c r="N56" s="18"/>
      <c r="O56" s="74"/>
      <c r="P56" s="74"/>
      <c r="Q56" s="18"/>
      <c r="R56" s="113" t="s">
        <v>67</v>
      </c>
      <c r="S56" s="89">
        <f t="shared" ref="S56" si="7">IF(S52+(3*S55)&gt;100,100,S52+(3*S55))</f>
        <v>0</v>
      </c>
      <c r="T56" s="89">
        <f t="shared" ref="T56:X56" si="8">IF(T52+(3*T55)&gt;100,100,T52+(3*T55))</f>
        <v>0</v>
      </c>
      <c r="U56" s="89">
        <f t="shared" si="8"/>
        <v>0</v>
      </c>
      <c r="V56" s="89">
        <f t="shared" si="8"/>
        <v>0</v>
      </c>
      <c r="W56" s="89">
        <f t="shared" si="8"/>
        <v>0</v>
      </c>
      <c r="X56" s="89">
        <f t="shared" si="8"/>
        <v>0</v>
      </c>
      <c r="Y56" s="89" t="s">
        <v>57</v>
      </c>
      <c r="Z56" s="89" t="s">
        <v>57</v>
      </c>
      <c r="AA56" s="89" t="e">
        <f t="shared" ref="AA56:AH56" si="9">IF(AA52+(3*AA55)&gt;100,100,AA52+(3*AA55))</f>
        <v>#DIV/0!</v>
      </c>
      <c r="AB56" s="89" t="e">
        <f t="shared" si="9"/>
        <v>#DIV/0!</v>
      </c>
      <c r="AC56" s="89">
        <f t="shared" si="9"/>
        <v>0</v>
      </c>
      <c r="AD56" s="89">
        <f t="shared" si="9"/>
        <v>0</v>
      </c>
      <c r="AE56" s="89">
        <f t="shared" si="9"/>
        <v>0</v>
      </c>
      <c r="AF56" s="89">
        <f t="shared" si="9"/>
        <v>0</v>
      </c>
      <c r="AG56" s="89">
        <f t="shared" si="9"/>
        <v>0</v>
      </c>
      <c r="AH56" s="89">
        <f t="shared" si="9"/>
        <v>0</v>
      </c>
      <c r="AI56" s="89" t="s">
        <v>57</v>
      </c>
      <c r="AJ56" s="90" t="s">
        <v>57</v>
      </c>
      <c r="AK56" s="85" t="e">
        <f>IF(AK52+(3*AK55)&gt;100,100,AK52+(3*AK55))</f>
        <v>#DIV/0!</v>
      </c>
      <c r="AL56" s="49" t="e">
        <f>IF(AL52+(3*AL55)&gt;100,100,AL52+(3*AL55))</f>
        <v>#DIV/0!</v>
      </c>
      <c r="AM56" s="72"/>
      <c r="AN56" s="18"/>
      <c r="AO56" s="18"/>
      <c r="AP56" s="48" t="s">
        <v>52</v>
      </c>
      <c r="AQ56" s="2">
        <f>BC52</f>
        <v>88000</v>
      </c>
      <c r="AR56" s="2">
        <f>BD52</f>
        <v>88</v>
      </c>
      <c r="AS56" s="29">
        <f>BE52</f>
        <v>0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</row>
    <row r="57" spans="1:60" ht="9" customHeight="1" thickBot="1">
      <c r="A57" s="74"/>
      <c r="B57" s="74"/>
      <c r="C57" s="74"/>
      <c r="D57" s="74"/>
      <c r="E57" s="74"/>
      <c r="F57" s="18"/>
      <c r="G57" s="18"/>
      <c r="H57" s="18"/>
      <c r="I57" s="74"/>
      <c r="J57" s="75"/>
      <c r="K57" s="74"/>
      <c r="L57" s="18"/>
      <c r="M57" s="18"/>
      <c r="N57" s="18"/>
      <c r="O57" s="74"/>
      <c r="P57" s="74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72"/>
      <c r="AI57" s="18"/>
      <c r="AJ57" s="18"/>
      <c r="AK57" s="18"/>
      <c r="AL57" s="18"/>
      <c r="AM57" s="18"/>
      <c r="AN57" s="18"/>
      <c r="AO57" s="18"/>
      <c r="AP57" s="50" t="s">
        <v>58</v>
      </c>
      <c r="AQ57" s="32">
        <f>BF52</f>
        <v>4224</v>
      </c>
      <c r="AR57" s="32">
        <f>BG52</f>
        <v>44</v>
      </c>
      <c r="AS57" s="49">
        <f>BH52</f>
        <v>0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 t="str">
        <f>IF(AND($AP57="HAST",NOT(ISBLANK($AT57))),$AU57*$AR57,"")</f>
        <v/>
      </c>
      <c r="BG57" s="18" t="str">
        <f>IF(AND($AP57="HAST",NOT(ISBLANK($AT57))),$AU57,"")</f>
        <v/>
      </c>
      <c r="BH57" s="18" t="str">
        <f>IF(AND($AP57="HAST",NOT(ISBLANK($AT57))),$AT57,"")</f>
        <v/>
      </c>
    </row>
    <row r="58" spans="1:60" ht="8.25" customHeight="1">
      <c r="R58" s="18" t="s">
        <v>69</v>
      </c>
      <c r="S58" s="73"/>
      <c r="T58" s="73"/>
    </row>
    <row r="59" spans="1:60" ht="8.25" customHeight="1">
      <c r="R59" s="18"/>
      <c r="S59" s="82" t="s">
        <v>70</v>
      </c>
      <c r="T59" s="73"/>
    </row>
    <row r="60" spans="1:60" ht="8.25" customHeight="1">
      <c r="R60" s="18"/>
      <c r="S60" s="82" t="s">
        <v>71</v>
      </c>
      <c r="T60" s="73"/>
    </row>
    <row r="61" spans="1:60" ht="8.25" customHeight="1">
      <c r="R61" s="18"/>
      <c r="S61" s="82" t="s">
        <v>72</v>
      </c>
      <c r="T61" s="73"/>
    </row>
    <row r="62" spans="1:60" ht="8.25" customHeight="1">
      <c r="R62" s="18"/>
      <c r="S62" s="82" t="s">
        <v>73</v>
      </c>
      <c r="T62" s="73"/>
    </row>
    <row r="63" spans="1:60" ht="8.25" customHeight="1">
      <c r="R63" s="18"/>
      <c r="S63" s="82" t="s">
        <v>74</v>
      </c>
      <c r="T63" s="73"/>
    </row>
  </sheetData>
  <mergeCells count="38">
    <mergeCell ref="AP3:AP4"/>
    <mergeCell ref="AU3:AU4"/>
    <mergeCell ref="L51:N51"/>
    <mergeCell ref="L52:N52"/>
    <mergeCell ref="L53:N53"/>
    <mergeCell ref="AN3:AN4"/>
    <mergeCell ref="AO3:AO4"/>
    <mergeCell ref="L54:N54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</mergeCells>
  <conditionalFormatting sqref="AT5:AT7 AT16:AT49">
    <cfRule type="cellIs" dxfId="96" priority="2" stopIfTrue="1" operator="equal">
      <formula>"ONGOING"</formula>
    </cfRule>
  </conditionalFormatting>
  <conditionalFormatting sqref="AT8:AT15">
    <cfRule type="cellIs" dxfId="9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49"/>
  <sheetViews>
    <sheetView showGridLines="0" zoomScale="140" zoomScaleNormal="140" workbookViewId="0">
      <pane xSplit="5" ySplit="4" topLeftCell="R5" activePane="bottomRight" state="frozen"/>
      <selection activeCell="Q21" sqref="A21:XFD21"/>
      <selection pane="topRight" activeCell="Q21" sqref="A21:XFD21"/>
      <selection pane="bottomLeft" activeCell="Q21" sqref="A21:XFD21"/>
      <selection pane="bottomRight" activeCell="S5" sqref="S5:AU5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5.26953125" style="109" customWidth="1"/>
    <col min="7" max="7" width="1.54296875" style="109" customWidth="1"/>
    <col min="8" max="8" width="5.26953125" style="109" customWidth="1"/>
    <col min="9" max="9" width="6" style="109" customWidth="1"/>
    <col min="10" max="10" width="5.7265625" style="109" customWidth="1"/>
    <col min="11" max="11" width="9.54296875" style="109" customWidth="1"/>
    <col min="12" max="12" width="4.453125" style="109" customWidth="1"/>
    <col min="13" max="13" width="4.26953125" style="109" customWidth="1"/>
    <col min="14" max="14" width="9.1796875" style="109" customWidth="1"/>
    <col min="15" max="15" width="6.81640625" style="109" customWidth="1"/>
    <col min="16" max="16" width="14.81640625" style="109" customWidth="1"/>
    <col min="17" max="17" width="11" style="109" customWidth="1"/>
    <col min="18" max="18" width="8.54296875" style="109" customWidth="1"/>
    <col min="19" max="26" width="2.7265625" style="109" customWidth="1"/>
    <col min="27" max="28" width="2.7265625" style="109" hidden="1" customWidth="1"/>
    <col min="29" max="36" width="2.7265625" style="109" customWidth="1"/>
    <col min="37" max="38" width="2.7265625" style="109" hidden="1" customWidth="1"/>
    <col min="39" max="40" width="2.7265625" style="109" customWidth="1"/>
    <col min="41" max="41" width="5.54296875" style="109" customWidth="1"/>
    <col min="42" max="42" width="5" style="109" customWidth="1"/>
    <col min="43" max="43" width="7.54296875" style="109" customWidth="1"/>
    <col min="44" max="45" width="4.54296875" style="109" customWidth="1"/>
    <col min="46" max="46" width="2.7265625" style="109" customWidth="1"/>
    <col min="47" max="47" width="3" style="109" customWidth="1"/>
    <col min="48" max="48" width="1.26953125" style="109" customWidth="1"/>
    <col min="49" max="49" width="6.54296875" style="109" customWidth="1"/>
    <col min="50" max="50" width="3.7265625" style="109" customWidth="1"/>
    <col min="51" max="51" width="5.54296875" style="109" customWidth="1"/>
    <col min="52" max="54" width="2.81640625" style="109" hidden="1" customWidth="1"/>
    <col min="55" max="55" width="6.54296875" style="109" customWidth="1"/>
    <col min="56" max="56" width="4.26953125" style="109" customWidth="1"/>
    <col min="57" max="57" width="5.7265625" style="109" customWidth="1"/>
    <col min="58" max="58" width="6.7265625" style="109" customWidth="1"/>
    <col min="59" max="59" width="4.26953125" style="109" customWidth="1"/>
    <col min="60" max="60" width="6" style="109" customWidth="1"/>
    <col min="61" max="70" width="9.1796875" style="109" customWidth="1"/>
    <col min="71" max="16384" width="14.453125" style="109"/>
  </cols>
  <sheetData>
    <row r="1" spans="1:60" ht="10.5" customHeight="1">
      <c r="A1" s="322" t="s">
        <v>0</v>
      </c>
      <c r="B1" s="297"/>
      <c r="C1" s="298"/>
      <c r="D1" s="324" t="s">
        <v>1</v>
      </c>
      <c r="E1" s="298"/>
      <c r="F1" s="325" t="s">
        <v>2</v>
      </c>
      <c r="G1" s="326"/>
      <c r="H1" s="326"/>
      <c r="I1" s="326"/>
      <c r="J1" s="326"/>
      <c r="K1" s="326"/>
      <c r="L1" s="326"/>
      <c r="M1" s="326"/>
      <c r="N1" s="326"/>
      <c r="O1" s="326"/>
      <c r="P1" s="327"/>
      <c r="Q1" s="328" t="s">
        <v>3</v>
      </c>
      <c r="R1" s="331" t="s">
        <v>4</v>
      </c>
      <c r="S1" s="334" t="s">
        <v>5</v>
      </c>
      <c r="T1" s="297"/>
      <c r="U1" s="297"/>
      <c r="V1" s="297"/>
      <c r="W1" s="297"/>
      <c r="X1" s="297"/>
      <c r="Y1" s="297"/>
      <c r="Z1" s="297"/>
      <c r="AA1" s="297"/>
      <c r="AB1" s="335"/>
      <c r="AC1" s="296" t="s">
        <v>6</v>
      </c>
      <c r="AD1" s="297"/>
      <c r="AE1" s="297"/>
      <c r="AF1" s="297"/>
      <c r="AG1" s="297"/>
      <c r="AH1" s="297"/>
      <c r="AI1" s="297"/>
      <c r="AJ1" s="297"/>
      <c r="AK1" s="297"/>
      <c r="AL1" s="298"/>
      <c r="AM1" s="302" t="s">
        <v>7</v>
      </c>
      <c r="AN1" s="297"/>
      <c r="AO1" s="303"/>
      <c r="AP1" s="306" t="s">
        <v>8</v>
      </c>
      <c r="AQ1" s="297"/>
      <c r="AR1" s="297"/>
      <c r="AS1" s="297"/>
      <c r="AT1" s="297"/>
      <c r="AU1" s="307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23"/>
      <c r="B2" s="300"/>
      <c r="C2" s="301"/>
      <c r="D2" s="304"/>
      <c r="E2" s="301"/>
      <c r="F2" s="304"/>
      <c r="G2" s="300"/>
      <c r="H2" s="300"/>
      <c r="I2" s="300"/>
      <c r="J2" s="300"/>
      <c r="K2" s="300"/>
      <c r="L2" s="300"/>
      <c r="M2" s="300"/>
      <c r="N2" s="300"/>
      <c r="O2" s="300"/>
      <c r="P2" s="305"/>
      <c r="Q2" s="329"/>
      <c r="R2" s="332"/>
      <c r="S2" s="304"/>
      <c r="T2" s="300"/>
      <c r="U2" s="300"/>
      <c r="V2" s="300"/>
      <c r="W2" s="300"/>
      <c r="X2" s="300"/>
      <c r="Y2" s="300"/>
      <c r="Z2" s="300"/>
      <c r="AA2" s="300"/>
      <c r="AB2" s="336"/>
      <c r="AC2" s="299"/>
      <c r="AD2" s="300"/>
      <c r="AE2" s="300"/>
      <c r="AF2" s="300"/>
      <c r="AG2" s="300"/>
      <c r="AH2" s="300"/>
      <c r="AI2" s="300"/>
      <c r="AJ2" s="300"/>
      <c r="AK2" s="300"/>
      <c r="AL2" s="301"/>
      <c r="AM2" s="304"/>
      <c r="AN2" s="300"/>
      <c r="AO2" s="305"/>
      <c r="AP2" s="300"/>
      <c r="AQ2" s="300"/>
      <c r="AR2" s="300"/>
      <c r="AS2" s="300"/>
      <c r="AT2" s="300"/>
      <c r="AU2" s="308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19"/>
      <c r="H3" s="320"/>
      <c r="I3" s="321" t="s">
        <v>77</v>
      </c>
      <c r="J3" s="319"/>
      <c r="K3" s="320"/>
      <c r="L3" s="55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29"/>
      <c r="R3" s="332"/>
      <c r="S3" s="339" t="s">
        <v>24</v>
      </c>
      <c r="T3" s="320"/>
      <c r="U3" s="338" t="s">
        <v>25</v>
      </c>
      <c r="V3" s="320"/>
      <c r="W3" s="338" t="s">
        <v>26</v>
      </c>
      <c r="X3" s="320"/>
      <c r="Y3" s="338" t="s">
        <v>27</v>
      </c>
      <c r="Z3" s="320"/>
      <c r="AA3" s="338" t="s">
        <v>28</v>
      </c>
      <c r="AB3" s="340"/>
      <c r="AC3" s="341" t="s">
        <v>24</v>
      </c>
      <c r="AD3" s="320"/>
      <c r="AE3" s="338" t="s">
        <v>25</v>
      </c>
      <c r="AF3" s="320"/>
      <c r="AG3" s="338" t="s">
        <v>26</v>
      </c>
      <c r="AH3" s="320"/>
      <c r="AI3" s="338" t="s">
        <v>27</v>
      </c>
      <c r="AJ3" s="320"/>
      <c r="AK3" s="338" t="s">
        <v>28</v>
      </c>
      <c r="AL3" s="320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10"/>
      <c r="B4" s="312"/>
      <c r="C4" s="314"/>
      <c r="D4" s="316"/>
      <c r="E4" s="314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23" t="s">
        <v>68</v>
      </c>
      <c r="M4" s="312"/>
      <c r="N4" s="312"/>
      <c r="O4" s="312"/>
      <c r="P4" s="344"/>
      <c r="Q4" s="330"/>
      <c r="R4" s="333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12"/>
      <c r="AO4" s="351"/>
      <c r="AP4" s="346"/>
      <c r="AQ4" s="28" t="s">
        <v>42</v>
      </c>
      <c r="AR4" s="28" t="s">
        <v>43</v>
      </c>
      <c r="AS4" s="28" t="s">
        <v>44</v>
      </c>
      <c r="AT4" s="28" t="s">
        <v>41</v>
      </c>
      <c r="AU4" s="348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s="246" customFormat="1" ht="8.25" customHeight="1">
      <c r="A5" s="1" t="s">
        <v>84</v>
      </c>
      <c r="B5" s="2">
        <v>48</v>
      </c>
      <c r="C5" s="3" t="s">
        <v>197</v>
      </c>
      <c r="D5" s="138">
        <v>2530</v>
      </c>
      <c r="E5" s="4" t="s">
        <v>85</v>
      </c>
      <c r="F5" s="64">
        <v>120</v>
      </c>
      <c r="G5" s="6" t="s">
        <v>147</v>
      </c>
      <c r="H5" s="110">
        <v>93</v>
      </c>
      <c r="I5" s="243" t="s">
        <v>157</v>
      </c>
      <c r="J5" s="6" t="s">
        <v>87</v>
      </c>
      <c r="K5" s="7" t="s">
        <v>88</v>
      </c>
      <c r="L5" s="225">
        <v>0.8</v>
      </c>
      <c r="M5" s="244" t="s">
        <v>89</v>
      </c>
      <c r="N5" s="245" t="s">
        <v>154</v>
      </c>
      <c r="O5" s="12">
        <v>2300</v>
      </c>
      <c r="P5" s="56" t="s">
        <v>102</v>
      </c>
      <c r="Q5" s="9" t="s">
        <v>189</v>
      </c>
      <c r="R5" s="10" t="s">
        <v>190</v>
      </c>
      <c r="S5" s="189">
        <v>0</v>
      </c>
      <c r="T5" s="190">
        <v>0</v>
      </c>
      <c r="U5" s="190">
        <v>0</v>
      </c>
      <c r="V5" s="190">
        <v>0</v>
      </c>
      <c r="W5" s="190">
        <v>0</v>
      </c>
      <c r="X5" s="190">
        <v>0</v>
      </c>
      <c r="Y5" s="190">
        <v>0</v>
      </c>
      <c r="Z5" s="190">
        <v>0</v>
      </c>
      <c r="AA5" s="190"/>
      <c r="AB5" s="191"/>
      <c r="AC5" s="192">
        <v>0</v>
      </c>
      <c r="AD5" s="190">
        <v>0</v>
      </c>
      <c r="AE5" s="190">
        <v>0</v>
      </c>
      <c r="AF5" s="190">
        <v>0</v>
      </c>
      <c r="AG5" s="190">
        <v>0</v>
      </c>
      <c r="AH5" s="190">
        <v>0</v>
      </c>
      <c r="AI5" s="190">
        <v>0</v>
      </c>
      <c r="AJ5" s="190">
        <v>0</v>
      </c>
      <c r="AK5" s="190"/>
      <c r="AL5" s="193"/>
      <c r="AM5" s="194">
        <v>0</v>
      </c>
      <c r="AN5" s="195">
        <v>22</v>
      </c>
      <c r="AO5" s="196" t="s">
        <v>93</v>
      </c>
      <c r="AP5" s="120" t="s">
        <v>52</v>
      </c>
      <c r="AQ5" s="117" t="s">
        <v>99</v>
      </c>
      <c r="AR5" s="201">
        <v>1000</v>
      </c>
      <c r="AS5" s="202" t="s">
        <v>100</v>
      </c>
      <c r="AT5" s="201">
        <v>0</v>
      </c>
      <c r="AU5" s="203">
        <v>22</v>
      </c>
      <c r="AV5" s="18"/>
      <c r="AW5" s="18" t="str">
        <f t="shared" ref="AW5:AW36" si="0">IF(AND($AP5="TC",NOT(ISBLANK($AT5))),$AU5*$AR5,"")</f>
        <v/>
      </c>
      <c r="AX5" s="18" t="str">
        <f t="shared" ref="AX5:AX36" si="1">IF(AND($AP5="TC",NOT(ISBLANK($AT5))),$AU5,"")</f>
        <v/>
      </c>
      <c r="AY5" s="18" t="str">
        <f>IF(AND($AP5="TC",NOT(ISBLANK($AT5))),$AT5,"")</f>
        <v/>
      </c>
      <c r="AZ5" s="18"/>
      <c r="BA5" s="18"/>
      <c r="BB5" s="18"/>
      <c r="BC5" s="18">
        <f t="shared" ref="BC5:BC36" si="2">IF(AND($AP5="HTS",NOT(ISBLANK($AT5))),$AU5*$AR5,"")</f>
        <v>22000</v>
      </c>
      <c r="BD5" s="18">
        <f t="shared" ref="BD5:BD36" si="3">IF(AND($AP5="HTS",NOT(ISBLANK($AT5))),$AU5,"")</f>
        <v>22</v>
      </c>
      <c r="BE5" s="18">
        <f>IF(AND($AP5="HTS",NOT(ISBLANK($AT5))),$AT5,"")</f>
        <v>0</v>
      </c>
      <c r="BF5" s="18" t="str">
        <f t="shared" ref="BF5:BF36" si="4">IF(AND($AP5="HAST",NOT(ISBLANK($AT5))),$AU5*$AR5,"")</f>
        <v/>
      </c>
      <c r="BG5" s="18" t="str">
        <f t="shared" ref="BG5:BG36" si="5">IF(AND($AP5="HAST",NOT(ISBLANK($AT5))),$AU5,"")</f>
        <v/>
      </c>
      <c r="BH5" s="18" t="str">
        <f t="shared" ref="BH5:BH36" si="6">IF(AND($AP5="HAST",NOT(ISBLANK($AT5))),$AT5,"")</f>
        <v/>
      </c>
    </row>
    <row r="6" spans="1:60" s="246" customFormat="1" ht="8.25" customHeight="1">
      <c r="A6" s="1"/>
      <c r="B6" s="2"/>
      <c r="C6" s="3"/>
      <c r="D6" s="138"/>
      <c r="E6" s="4"/>
      <c r="F6" s="5"/>
      <c r="G6" s="6"/>
      <c r="H6" s="7"/>
      <c r="I6" s="7"/>
      <c r="J6" s="6"/>
      <c r="K6" s="7"/>
      <c r="L6" s="225"/>
      <c r="M6" s="244"/>
      <c r="N6" s="245"/>
      <c r="O6" s="2"/>
      <c r="P6" s="56"/>
      <c r="Q6" s="9"/>
      <c r="R6" s="10"/>
      <c r="S6" s="11"/>
      <c r="T6" s="12"/>
      <c r="U6" s="12"/>
      <c r="V6" s="12"/>
      <c r="W6" s="12"/>
      <c r="X6" s="2"/>
      <c r="Y6" s="2"/>
      <c r="Z6" s="2"/>
      <c r="AA6" s="2"/>
      <c r="AB6" s="59"/>
      <c r="AC6" s="62"/>
      <c r="AD6" s="2"/>
      <c r="AE6" s="2"/>
      <c r="AF6" s="2"/>
      <c r="AG6" s="2"/>
      <c r="AH6" s="2"/>
      <c r="AI6" s="12"/>
      <c r="AJ6" s="12"/>
      <c r="AK6" s="12"/>
      <c r="AL6" s="13"/>
      <c r="AM6" s="11"/>
      <c r="AN6" s="12"/>
      <c r="AO6" s="4"/>
      <c r="AP6" s="14"/>
      <c r="AQ6" s="2"/>
      <c r="AR6" s="15"/>
      <c r="AS6" s="16"/>
      <c r="AT6" s="15"/>
      <c r="AU6" s="17"/>
      <c r="AV6" s="18"/>
      <c r="AW6" s="18" t="str">
        <f t="shared" si="0"/>
        <v/>
      </c>
      <c r="AX6" s="18" t="str">
        <f t="shared" si="1"/>
        <v/>
      </c>
      <c r="AY6" s="18" t="str">
        <f>IF(AND($AP6="TC",NOT(ISBLANK($AT6))),$AT6,"")</f>
        <v/>
      </c>
      <c r="AZ6" s="18"/>
      <c r="BA6" s="18"/>
      <c r="BB6" s="18"/>
      <c r="BC6" s="18" t="str">
        <f t="shared" si="2"/>
        <v/>
      </c>
      <c r="BD6" s="18" t="str">
        <f t="shared" si="3"/>
        <v/>
      </c>
      <c r="BE6" s="18" t="str">
        <f>IF(AND($AP6="HTS",NOT(ISBLANK($AT6))),$AT6,"")</f>
        <v/>
      </c>
      <c r="BF6" s="18" t="str">
        <f t="shared" si="4"/>
        <v/>
      </c>
      <c r="BG6" s="18" t="str">
        <f t="shared" si="5"/>
        <v/>
      </c>
      <c r="BH6" s="18" t="str">
        <f t="shared" si="6"/>
        <v/>
      </c>
    </row>
    <row r="7" spans="1:60" s="246" customFormat="1" ht="8.25" customHeight="1">
      <c r="A7" s="1" t="s">
        <v>84</v>
      </c>
      <c r="B7" s="2">
        <v>81</v>
      </c>
      <c r="C7" s="3" t="s">
        <v>186</v>
      </c>
      <c r="D7" s="138">
        <v>2508</v>
      </c>
      <c r="E7" s="4" t="s">
        <v>85</v>
      </c>
      <c r="F7" s="64">
        <v>173</v>
      </c>
      <c r="G7" s="6" t="s">
        <v>147</v>
      </c>
      <c r="H7" s="110">
        <v>161</v>
      </c>
      <c r="I7" s="243" t="s">
        <v>86</v>
      </c>
      <c r="J7" s="6" t="s">
        <v>87</v>
      </c>
      <c r="K7" s="7" t="s">
        <v>88</v>
      </c>
      <c r="L7" s="225">
        <v>0.8</v>
      </c>
      <c r="M7" s="244" t="s">
        <v>89</v>
      </c>
      <c r="N7" s="245" t="s">
        <v>185</v>
      </c>
      <c r="O7" s="12">
        <v>2300</v>
      </c>
      <c r="P7" s="56" t="s">
        <v>106</v>
      </c>
      <c r="Q7" s="9" t="s">
        <v>91</v>
      </c>
      <c r="R7" s="10" t="s">
        <v>92</v>
      </c>
      <c r="S7" s="11">
        <v>0</v>
      </c>
      <c r="T7" s="12">
        <v>0</v>
      </c>
      <c r="U7" s="12">
        <v>0</v>
      </c>
      <c r="V7" s="12">
        <v>0</v>
      </c>
      <c r="W7" s="12">
        <v>0</v>
      </c>
      <c r="X7" s="2">
        <v>0</v>
      </c>
      <c r="Y7" s="2">
        <v>0</v>
      </c>
      <c r="Z7" s="2">
        <v>0</v>
      </c>
      <c r="AA7" s="2"/>
      <c r="AB7" s="59"/>
      <c r="AC7" s="6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12">
        <v>0</v>
      </c>
      <c r="AJ7" s="12">
        <v>0</v>
      </c>
      <c r="AK7" s="12"/>
      <c r="AL7" s="13"/>
      <c r="AM7" s="11">
        <v>0</v>
      </c>
      <c r="AN7" s="12">
        <v>22</v>
      </c>
      <c r="AO7" s="4" t="s">
        <v>93</v>
      </c>
      <c r="AP7" s="14" t="s">
        <v>94</v>
      </c>
      <c r="AQ7" s="2" t="s">
        <v>95</v>
      </c>
      <c r="AR7" s="15">
        <v>1000</v>
      </c>
      <c r="AS7" s="16" t="s">
        <v>96</v>
      </c>
      <c r="AT7" s="15">
        <v>0</v>
      </c>
      <c r="AU7" s="17">
        <v>22</v>
      </c>
      <c r="AV7" s="18"/>
      <c r="AW7" s="18">
        <f t="shared" si="0"/>
        <v>22000</v>
      </c>
      <c r="AX7" s="18">
        <f t="shared" si="1"/>
        <v>22</v>
      </c>
      <c r="AY7" s="18">
        <f t="shared" ref="AY7:AY36" si="7">IF(AND($AP7="TC",NOT(ISBLANK($AT7))),$AT7,"")</f>
        <v>0</v>
      </c>
      <c r="AZ7" s="18"/>
      <c r="BA7" s="18"/>
      <c r="BB7" s="18"/>
      <c r="BC7" s="18" t="str">
        <f t="shared" si="2"/>
        <v/>
      </c>
      <c r="BD7" s="18" t="str">
        <f t="shared" si="3"/>
        <v/>
      </c>
      <c r="BE7" s="18" t="str">
        <f t="shared" ref="BE7:BE36" si="8">IF(AND($AP7="HTS",NOT(ISBLANK($AT7))),$AT7,"")</f>
        <v/>
      </c>
      <c r="BF7" s="18" t="str">
        <f t="shared" si="4"/>
        <v/>
      </c>
      <c r="BG7" s="18" t="str">
        <f t="shared" si="5"/>
        <v/>
      </c>
      <c r="BH7" s="18" t="str">
        <f t="shared" si="6"/>
        <v/>
      </c>
    </row>
    <row r="8" spans="1:60" s="246" customFormat="1" ht="8.25" customHeight="1">
      <c r="A8" s="1"/>
      <c r="B8" s="2"/>
      <c r="C8" s="3"/>
      <c r="D8" s="138"/>
      <c r="E8" s="4"/>
      <c r="F8" s="5"/>
      <c r="G8" s="6"/>
      <c r="H8" s="7"/>
      <c r="I8" s="7"/>
      <c r="J8" s="6"/>
      <c r="K8" s="7"/>
      <c r="L8" s="225"/>
      <c r="M8" s="244"/>
      <c r="N8" s="245"/>
      <c r="O8" s="2"/>
      <c r="P8" s="56"/>
      <c r="Q8" s="9"/>
      <c r="R8" s="10"/>
      <c r="S8" s="11"/>
      <c r="T8" s="12"/>
      <c r="U8" s="12"/>
      <c r="V8" s="12"/>
      <c r="W8" s="12"/>
      <c r="X8" s="2"/>
      <c r="Y8" s="2"/>
      <c r="Z8" s="2"/>
      <c r="AA8" s="2"/>
      <c r="AB8" s="59"/>
      <c r="AC8" s="62"/>
      <c r="AD8" s="2"/>
      <c r="AE8" s="2"/>
      <c r="AF8" s="2"/>
      <c r="AG8" s="2"/>
      <c r="AH8" s="2"/>
      <c r="AI8" s="12"/>
      <c r="AJ8" s="12"/>
      <c r="AK8" s="12"/>
      <c r="AL8" s="13"/>
      <c r="AM8" s="11"/>
      <c r="AN8" s="12"/>
      <c r="AO8" s="4"/>
      <c r="AP8" s="14"/>
      <c r="AQ8" s="2"/>
      <c r="AR8" s="15"/>
      <c r="AS8" s="16"/>
      <c r="AT8" s="15"/>
      <c r="AU8" s="17"/>
      <c r="AV8" s="18"/>
      <c r="AW8" s="18" t="str">
        <f t="shared" si="0"/>
        <v/>
      </c>
      <c r="AX8" s="18" t="str">
        <f t="shared" si="1"/>
        <v/>
      </c>
      <c r="AY8" s="18" t="str">
        <f t="shared" si="7"/>
        <v/>
      </c>
      <c r="AZ8" s="18"/>
      <c r="BA8" s="18"/>
      <c r="BB8" s="18"/>
      <c r="BC8" s="18" t="str">
        <f t="shared" si="2"/>
        <v/>
      </c>
      <c r="BD8" s="18" t="str">
        <f t="shared" si="3"/>
        <v/>
      </c>
      <c r="BE8" s="18" t="str">
        <f t="shared" si="8"/>
        <v/>
      </c>
      <c r="BF8" s="18" t="str">
        <f t="shared" si="4"/>
        <v/>
      </c>
      <c r="BG8" s="18" t="str">
        <f t="shared" si="5"/>
        <v/>
      </c>
      <c r="BH8" s="18" t="str">
        <f t="shared" si="6"/>
        <v/>
      </c>
    </row>
    <row r="9" spans="1:60" s="246" customFormat="1" ht="8.25" customHeight="1">
      <c r="A9" s="1" t="s">
        <v>84</v>
      </c>
      <c r="B9" s="2">
        <v>196</v>
      </c>
      <c r="C9" s="3" t="s">
        <v>153</v>
      </c>
      <c r="D9" s="138">
        <v>2504</v>
      </c>
      <c r="E9" s="4" t="s">
        <v>85</v>
      </c>
      <c r="F9" s="5" t="s">
        <v>180</v>
      </c>
      <c r="G9" s="6" t="s">
        <v>147</v>
      </c>
      <c r="H9" s="7" t="s">
        <v>181</v>
      </c>
      <c r="I9" s="7" t="s">
        <v>111</v>
      </c>
      <c r="J9" s="6" t="s">
        <v>179</v>
      </c>
      <c r="K9" s="7" t="s">
        <v>88</v>
      </c>
      <c r="L9" s="226">
        <v>0.7</v>
      </c>
      <c r="M9" s="244" t="s">
        <v>89</v>
      </c>
      <c r="N9" s="12" t="s">
        <v>182</v>
      </c>
      <c r="O9" s="2">
        <v>2300</v>
      </c>
      <c r="P9" s="56" t="s">
        <v>90</v>
      </c>
      <c r="Q9" s="229" t="s">
        <v>91</v>
      </c>
      <c r="R9" s="230" t="s">
        <v>92</v>
      </c>
      <c r="S9" s="11">
        <v>0</v>
      </c>
      <c r="T9" s="12">
        <v>0</v>
      </c>
      <c r="U9" s="12">
        <v>0</v>
      </c>
      <c r="V9" s="12">
        <v>0</v>
      </c>
      <c r="W9" s="12">
        <v>0</v>
      </c>
      <c r="X9" s="2">
        <v>0</v>
      </c>
      <c r="Y9" s="2">
        <v>0</v>
      </c>
      <c r="Z9" s="2">
        <v>0</v>
      </c>
      <c r="AA9" s="2" t="s">
        <v>57</v>
      </c>
      <c r="AB9" s="59" t="s">
        <v>57</v>
      </c>
      <c r="AC9" s="6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12">
        <v>0</v>
      </c>
      <c r="AJ9" s="12">
        <v>0</v>
      </c>
      <c r="AK9" s="12" t="s">
        <v>57</v>
      </c>
      <c r="AL9" s="13" t="s">
        <v>57</v>
      </c>
      <c r="AM9" s="11">
        <v>0</v>
      </c>
      <c r="AN9" s="12">
        <v>22</v>
      </c>
      <c r="AO9" s="4" t="s">
        <v>93</v>
      </c>
      <c r="AP9" s="223" t="s">
        <v>52</v>
      </c>
      <c r="AQ9" s="239" t="s">
        <v>99</v>
      </c>
      <c r="AR9" s="239">
        <v>1000</v>
      </c>
      <c r="AS9" s="239" t="s">
        <v>100</v>
      </c>
      <c r="AT9" s="239">
        <v>0</v>
      </c>
      <c r="AU9" s="240">
        <v>22</v>
      </c>
      <c r="AV9" s="18"/>
      <c r="AW9" s="18" t="str">
        <f t="shared" si="0"/>
        <v/>
      </c>
      <c r="AX9" s="18" t="str">
        <f t="shared" si="1"/>
        <v/>
      </c>
      <c r="AY9" s="18" t="str">
        <f t="shared" si="7"/>
        <v/>
      </c>
      <c r="AZ9" s="18"/>
      <c r="BA9" s="18"/>
      <c r="BB9" s="18"/>
      <c r="BC9" s="18">
        <f t="shared" si="2"/>
        <v>22000</v>
      </c>
      <c r="BD9" s="18">
        <f t="shared" si="3"/>
        <v>22</v>
      </c>
      <c r="BE9" s="18">
        <f t="shared" si="8"/>
        <v>0</v>
      </c>
      <c r="BF9" s="18" t="str">
        <f t="shared" si="4"/>
        <v/>
      </c>
      <c r="BG9" s="18" t="str">
        <f t="shared" si="5"/>
        <v/>
      </c>
      <c r="BH9" s="18" t="str">
        <f t="shared" si="6"/>
        <v/>
      </c>
    </row>
    <row r="10" spans="1:60" s="246" customFormat="1" ht="8.25" customHeight="1">
      <c r="A10" s="1"/>
      <c r="B10" s="2"/>
      <c r="C10" s="3"/>
      <c r="D10" s="138"/>
      <c r="E10" s="4"/>
      <c r="F10" s="5"/>
      <c r="G10" s="6"/>
      <c r="H10" s="7"/>
      <c r="I10" s="7"/>
      <c r="J10" s="6"/>
      <c r="K10" s="7"/>
      <c r="L10" s="95"/>
      <c r="M10" s="12"/>
      <c r="N10" s="12"/>
      <c r="O10" s="2"/>
      <c r="P10" s="56"/>
      <c r="Q10" s="9"/>
      <c r="R10" s="10"/>
      <c r="S10" s="11"/>
      <c r="T10" s="12"/>
      <c r="U10" s="12"/>
      <c r="V10" s="12"/>
      <c r="W10" s="12"/>
      <c r="X10" s="2"/>
      <c r="Y10" s="2"/>
      <c r="Z10" s="2"/>
      <c r="AA10" s="2"/>
      <c r="AB10" s="59"/>
      <c r="AC10" s="62"/>
      <c r="AD10" s="2"/>
      <c r="AE10" s="2"/>
      <c r="AF10" s="2"/>
      <c r="AG10" s="2"/>
      <c r="AH10" s="2"/>
      <c r="AI10" s="12"/>
      <c r="AJ10" s="12"/>
      <c r="AK10" s="12"/>
      <c r="AL10" s="13"/>
      <c r="AM10" s="11"/>
      <c r="AN10" s="12"/>
      <c r="AO10" s="4"/>
      <c r="AP10" s="14"/>
      <c r="AQ10" s="2"/>
      <c r="AR10" s="15"/>
      <c r="AS10" s="16"/>
      <c r="AT10" s="15"/>
      <c r="AU10" s="17"/>
      <c r="AV10" s="18"/>
      <c r="AW10" s="18" t="str">
        <f t="shared" si="0"/>
        <v/>
      </c>
      <c r="AX10" s="18" t="str">
        <f t="shared" si="1"/>
        <v/>
      </c>
      <c r="AY10" s="18" t="str">
        <f t="shared" si="7"/>
        <v/>
      </c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 t="str">
        <f t="shared" si="8"/>
        <v/>
      </c>
      <c r="BF10" s="18" t="str">
        <f t="shared" si="4"/>
        <v/>
      </c>
      <c r="BG10" s="18" t="str">
        <f t="shared" si="5"/>
        <v/>
      </c>
      <c r="BH10" s="18" t="str">
        <f t="shared" si="6"/>
        <v/>
      </c>
    </row>
    <row r="11" spans="1:60" s="246" customFormat="1" ht="8.25" customHeight="1">
      <c r="A11" s="1"/>
      <c r="B11" s="2"/>
      <c r="C11" s="3"/>
      <c r="D11" s="138"/>
      <c r="E11" s="4"/>
      <c r="F11" s="5"/>
      <c r="G11" s="6"/>
      <c r="H11" s="7"/>
      <c r="I11" s="7"/>
      <c r="J11" s="6"/>
      <c r="K11" s="7"/>
      <c r="L11" s="95"/>
      <c r="M11" s="12"/>
      <c r="N11" s="12"/>
      <c r="O11" s="2"/>
      <c r="P11" s="56"/>
      <c r="Q11" s="9"/>
      <c r="R11" s="10"/>
      <c r="S11" s="11"/>
      <c r="T11" s="12"/>
      <c r="U11" s="12"/>
      <c r="V11" s="12"/>
      <c r="W11" s="12"/>
      <c r="X11" s="2"/>
      <c r="Y11" s="2"/>
      <c r="Z11" s="2"/>
      <c r="AA11" s="2"/>
      <c r="AB11" s="59"/>
      <c r="AC11" s="62"/>
      <c r="AD11" s="2"/>
      <c r="AE11" s="2"/>
      <c r="AF11" s="2"/>
      <c r="AG11" s="2"/>
      <c r="AH11" s="2"/>
      <c r="AI11" s="12"/>
      <c r="AJ11" s="12"/>
      <c r="AK11" s="12"/>
      <c r="AL11" s="13"/>
      <c r="AM11" s="11"/>
      <c r="AN11" s="12"/>
      <c r="AO11" s="4"/>
      <c r="AP11" s="14"/>
      <c r="AQ11" s="2"/>
      <c r="AR11" s="15"/>
      <c r="AS11" s="16"/>
      <c r="AT11" s="15"/>
      <c r="AU11" s="17"/>
      <c r="AV11" s="18"/>
      <c r="AW11" s="18" t="str">
        <f t="shared" si="0"/>
        <v/>
      </c>
      <c r="AX11" s="18" t="str">
        <f t="shared" si="1"/>
        <v/>
      </c>
      <c r="AY11" s="18" t="str">
        <f t="shared" si="7"/>
        <v/>
      </c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 t="str">
        <f t="shared" si="8"/>
        <v/>
      </c>
      <c r="BF11" s="18" t="str">
        <f t="shared" si="4"/>
        <v/>
      </c>
      <c r="BG11" s="18" t="str">
        <f t="shared" si="5"/>
        <v/>
      </c>
      <c r="BH11" s="18" t="str">
        <f t="shared" si="6"/>
        <v/>
      </c>
    </row>
    <row r="12" spans="1:60" s="246" customFormat="1" ht="8.25" customHeight="1">
      <c r="A12" s="1"/>
      <c r="B12" s="2"/>
      <c r="C12" s="3"/>
      <c r="D12" s="138"/>
      <c r="E12" s="4"/>
      <c r="F12" s="5"/>
      <c r="G12" s="6"/>
      <c r="H12" s="7"/>
      <c r="I12" s="7"/>
      <c r="J12" s="6"/>
      <c r="K12" s="7"/>
      <c r="L12" s="95"/>
      <c r="M12" s="12"/>
      <c r="N12" s="12"/>
      <c r="O12" s="2"/>
      <c r="P12" s="56"/>
      <c r="Q12" s="9"/>
      <c r="R12" s="10"/>
      <c r="S12" s="11"/>
      <c r="T12" s="12"/>
      <c r="U12" s="12"/>
      <c r="V12" s="12"/>
      <c r="W12" s="12"/>
      <c r="X12" s="2"/>
      <c r="Y12" s="2"/>
      <c r="Z12" s="2"/>
      <c r="AA12" s="2"/>
      <c r="AB12" s="59"/>
      <c r="AC12" s="62"/>
      <c r="AD12" s="2"/>
      <c r="AE12" s="2"/>
      <c r="AF12" s="2"/>
      <c r="AG12" s="2"/>
      <c r="AH12" s="2"/>
      <c r="AI12" s="12"/>
      <c r="AJ12" s="12"/>
      <c r="AK12" s="12"/>
      <c r="AL12" s="13"/>
      <c r="AM12" s="11"/>
      <c r="AN12" s="12"/>
      <c r="AO12" s="4"/>
      <c r="AP12" s="14"/>
      <c r="AQ12" s="2"/>
      <c r="AR12" s="15"/>
      <c r="AS12" s="16"/>
      <c r="AT12" s="15"/>
      <c r="AU12" s="17"/>
      <c r="AV12" s="18"/>
      <c r="AW12" s="18" t="str">
        <f t="shared" si="0"/>
        <v/>
      </c>
      <c r="AX12" s="18" t="str">
        <f t="shared" si="1"/>
        <v/>
      </c>
      <c r="AY12" s="18" t="str">
        <f t="shared" si="7"/>
        <v/>
      </c>
      <c r="AZ12" s="18"/>
      <c r="BA12" s="18"/>
      <c r="BB12" s="18"/>
      <c r="BC12" s="18" t="str">
        <f t="shared" si="2"/>
        <v/>
      </c>
      <c r="BD12" s="18" t="str">
        <f t="shared" si="3"/>
        <v/>
      </c>
      <c r="BE12" s="18" t="str">
        <f t="shared" si="8"/>
        <v/>
      </c>
      <c r="BF12" s="18" t="str">
        <f t="shared" si="4"/>
        <v/>
      </c>
      <c r="BG12" s="18" t="str">
        <f t="shared" si="5"/>
        <v/>
      </c>
      <c r="BH12" s="18" t="str">
        <f t="shared" si="6"/>
        <v/>
      </c>
    </row>
    <row r="13" spans="1:60" s="246" customFormat="1" ht="8.25" customHeight="1">
      <c r="A13" s="1"/>
      <c r="B13" s="2"/>
      <c r="C13" s="3"/>
      <c r="D13" s="138"/>
      <c r="E13" s="4"/>
      <c r="F13" s="5"/>
      <c r="G13" s="6"/>
      <c r="H13" s="7"/>
      <c r="I13" s="7"/>
      <c r="J13" s="6"/>
      <c r="K13" s="7"/>
      <c r="L13" s="95"/>
      <c r="M13" s="12"/>
      <c r="N13" s="12"/>
      <c r="O13" s="2"/>
      <c r="P13" s="56"/>
      <c r="Q13" s="9"/>
      <c r="R13" s="10"/>
      <c r="S13" s="11"/>
      <c r="T13" s="12"/>
      <c r="U13" s="12"/>
      <c r="V13" s="12"/>
      <c r="W13" s="12"/>
      <c r="X13" s="2"/>
      <c r="Y13" s="2"/>
      <c r="Z13" s="2"/>
      <c r="AA13" s="2"/>
      <c r="AB13" s="59"/>
      <c r="AC13" s="62"/>
      <c r="AD13" s="2"/>
      <c r="AE13" s="2"/>
      <c r="AF13" s="2"/>
      <c r="AG13" s="2"/>
      <c r="AH13" s="2"/>
      <c r="AI13" s="12"/>
      <c r="AJ13" s="12"/>
      <c r="AK13" s="12"/>
      <c r="AL13" s="13"/>
      <c r="AM13" s="11"/>
      <c r="AN13" s="12"/>
      <c r="AO13" s="4"/>
      <c r="AP13" s="14"/>
      <c r="AQ13" s="2"/>
      <c r="AR13" s="15"/>
      <c r="AS13" s="16"/>
      <c r="AT13" s="15"/>
      <c r="AU13" s="17"/>
      <c r="AV13" s="18"/>
      <c r="AW13" s="18" t="str">
        <f t="shared" si="0"/>
        <v/>
      </c>
      <c r="AX13" s="18" t="str">
        <f t="shared" si="1"/>
        <v/>
      </c>
      <c r="AY13" s="18" t="str">
        <f t="shared" si="7"/>
        <v/>
      </c>
      <c r="AZ13" s="18"/>
      <c r="BA13" s="18"/>
      <c r="BB13" s="18"/>
      <c r="BC13" s="18" t="str">
        <f t="shared" si="2"/>
        <v/>
      </c>
      <c r="BD13" s="18" t="str">
        <f t="shared" si="3"/>
        <v/>
      </c>
      <c r="BE13" s="18" t="str">
        <f t="shared" si="8"/>
        <v/>
      </c>
      <c r="BF13" s="18" t="str">
        <f t="shared" si="4"/>
        <v/>
      </c>
      <c r="BG13" s="18" t="str">
        <f t="shared" si="5"/>
        <v/>
      </c>
      <c r="BH13" s="18" t="str">
        <f t="shared" si="6"/>
        <v/>
      </c>
    </row>
    <row r="14" spans="1:60" s="246" customFormat="1" ht="8.25" customHeight="1">
      <c r="A14" s="1"/>
      <c r="B14" s="2"/>
      <c r="C14" s="3"/>
      <c r="D14" s="138"/>
      <c r="E14" s="4"/>
      <c r="F14" s="5"/>
      <c r="G14" s="6"/>
      <c r="H14" s="7"/>
      <c r="I14" s="7"/>
      <c r="J14" s="6"/>
      <c r="K14" s="7"/>
      <c r="L14" s="95"/>
      <c r="M14" s="12"/>
      <c r="N14" s="12"/>
      <c r="O14" s="2"/>
      <c r="P14" s="56"/>
      <c r="Q14" s="9"/>
      <c r="R14" s="10"/>
      <c r="S14" s="11"/>
      <c r="T14" s="12"/>
      <c r="U14" s="12"/>
      <c r="V14" s="12"/>
      <c r="W14" s="12"/>
      <c r="X14" s="2"/>
      <c r="Y14" s="2"/>
      <c r="Z14" s="2"/>
      <c r="AA14" s="2"/>
      <c r="AB14" s="59"/>
      <c r="AC14" s="62"/>
      <c r="AD14" s="2"/>
      <c r="AE14" s="2"/>
      <c r="AF14" s="2"/>
      <c r="AG14" s="2"/>
      <c r="AH14" s="2"/>
      <c r="AI14" s="12"/>
      <c r="AJ14" s="12"/>
      <c r="AK14" s="12"/>
      <c r="AL14" s="13"/>
      <c r="AM14" s="11"/>
      <c r="AN14" s="12"/>
      <c r="AO14" s="4"/>
      <c r="AP14" s="14"/>
      <c r="AQ14" s="2"/>
      <c r="AR14" s="16"/>
      <c r="AS14" s="16"/>
      <c r="AT14" s="16"/>
      <c r="AU14" s="51"/>
      <c r="AV14" s="18"/>
      <c r="AW14" s="18" t="str">
        <f t="shared" si="0"/>
        <v/>
      </c>
      <c r="AX14" s="18" t="str">
        <f t="shared" si="1"/>
        <v/>
      </c>
      <c r="AY14" s="18" t="str">
        <f t="shared" si="7"/>
        <v/>
      </c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 t="str">
        <f t="shared" si="8"/>
        <v/>
      </c>
      <c r="BF14" s="18" t="str">
        <f t="shared" si="4"/>
        <v/>
      </c>
      <c r="BG14" s="18" t="str">
        <f t="shared" si="5"/>
        <v/>
      </c>
      <c r="BH14" s="18" t="str">
        <f t="shared" si="6"/>
        <v/>
      </c>
    </row>
    <row r="15" spans="1:60" s="246" customFormat="1" ht="8.25" customHeight="1">
      <c r="A15" s="1"/>
      <c r="B15" s="2"/>
      <c r="C15" s="3"/>
      <c r="D15" s="138"/>
      <c r="E15" s="4"/>
      <c r="F15" s="5"/>
      <c r="G15" s="6"/>
      <c r="H15" s="7"/>
      <c r="I15" s="7"/>
      <c r="J15" s="6"/>
      <c r="K15" s="7"/>
      <c r="L15" s="95"/>
      <c r="M15" s="12"/>
      <c r="N15" s="12"/>
      <c r="O15" s="2"/>
      <c r="P15" s="56"/>
      <c r="Q15" s="9"/>
      <c r="R15" s="10"/>
      <c r="S15" s="11"/>
      <c r="T15" s="12"/>
      <c r="U15" s="12"/>
      <c r="V15" s="12"/>
      <c r="W15" s="12"/>
      <c r="X15" s="2"/>
      <c r="Y15" s="2"/>
      <c r="Z15" s="2"/>
      <c r="AA15" s="2"/>
      <c r="AB15" s="59"/>
      <c r="AC15" s="62"/>
      <c r="AD15" s="2"/>
      <c r="AE15" s="2"/>
      <c r="AF15" s="2"/>
      <c r="AG15" s="2"/>
      <c r="AH15" s="2"/>
      <c r="AI15" s="12"/>
      <c r="AJ15" s="12"/>
      <c r="AK15" s="12"/>
      <c r="AL15" s="13"/>
      <c r="AM15" s="11"/>
      <c r="AN15" s="12"/>
      <c r="AO15" s="4"/>
      <c r="AP15" s="14"/>
      <c r="AQ15" s="2"/>
      <c r="AR15" s="15"/>
      <c r="AS15" s="16"/>
      <c r="AT15" s="15"/>
      <c r="AU15" s="17"/>
      <c r="AV15" s="18"/>
      <c r="AW15" s="18" t="str">
        <f t="shared" si="0"/>
        <v/>
      </c>
      <c r="AX15" s="18" t="str">
        <f t="shared" si="1"/>
        <v/>
      </c>
      <c r="AY15" s="18" t="str">
        <f t="shared" si="7"/>
        <v/>
      </c>
      <c r="AZ15" s="18"/>
      <c r="BA15" s="18"/>
      <c r="BB15" s="18"/>
      <c r="BC15" s="18" t="str">
        <f t="shared" si="2"/>
        <v/>
      </c>
      <c r="BD15" s="18" t="str">
        <f t="shared" si="3"/>
        <v/>
      </c>
      <c r="BE15" s="18" t="str">
        <f t="shared" si="8"/>
        <v/>
      </c>
      <c r="BF15" s="18" t="str">
        <f t="shared" si="4"/>
        <v/>
      </c>
      <c r="BG15" s="18" t="str">
        <f t="shared" si="5"/>
        <v/>
      </c>
      <c r="BH15" s="18" t="str">
        <f t="shared" si="6"/>
        <v/>
      </c>
    </row>
    <row r="16" spans="1:60" s="246" customFormat="1" ht="8.25" customHeight="1">
      <c r="A16" s="1"/>
      <c r="B16" s="2"/>
      <c r="C16" s="3"/>
      <c r="D16" s="138"/>
      <c r="E16" s="4"/>
      <c r="F16" s="5"/>
      <c r="G16" s="6"/>
      <c r="H16" s="7"/>
      <c r="I16" s="7"/>
      <c r="J16" s="6"/>
      <c r="K16" s="7"/>
      <c r="L16" s="95"/>
      <c r="M16" s="12"/>
      <c r="N16" s="12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 t="str">
        <f t="shared" si="7"/>
        <v/>
      </c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 t="str">
        <f t="shared" si="8"/>
        <v/>
      </c>
      <c r="BF16" s="18" t="str">
        <f t="shared" si="4"/>
        <v/>
      </c>
      <c r="BG16" s="18" t="str">
        <f t="shared" si="5"/>
        <v/>
      </c>
      <c r="BH16" s="18" t="str">
        <f t="shared" si="6"/>
        <v/>
      </c>
    </row>
    <row r="17" spans="1:60" s="246" customFormat="1" ht="8.25" customHeight="1">
      <c r="A17" s="1"/>
      <c r="B17" s="2"/>
      <c r="C17" s="3"/>
      <c r="D17" s="138"/>
      <c r="E17" s="4"/>
      <c r="F17" s="5"/>
      <c r="G17" s="6"/>
      <c r="H17" s="7"/>
      <c r="I17" s="7"/>
      <c r="J17" s="6"/>
      <c r="K17" s="7"/>
      <c r="L17" s="95"/>
      <c r="M17" s="12"/>
      <c r="N17" s="12"/>
      <c r="O17" s="2"/>
      <c r="P17" s="56"/>
      <c r="Q17" s="9"/>
      <c r="R17" s="10"/>
      <c r="S17" s="11"/>
      <c r="T17" s="12"/>
      <c r="U17" s="12"/>
      <c r="V17" s="12"/>
      <c r="W17" s="12"/>
      <c r="X17" s="2"/>
      <c r="Y17" s="2"/>
      <c r="Z17" s="2"/>
      <c r="AA17" s="2"/>
      <c r="AB17" s="59"/>
      <c r="AC17" s="62"/>
      <c r="AD17" s="2"/>
      <c r="AE17" s="2"/>
      <c r="AF17" s="2"/>
      <c r="AG17" s="2"/>
      <c r="AH17" s="2"/>
      <c r="AI17" s="12"/>
      <c r="AJ17" s="12"/>
      <c r="AK17" s="12"/>
      <c r="AL17" s="13"/>
      <c r="AM17" s="11"/>
      <c r="AN17" s="12"/>
      <c r="AO17" s="4"/>
      <c r="AP17" s="14"/>
      <c r="AQ17" s="2"/>
      <c r="AR17" s="16"/>
      <c r="AS17" s="16"/>
      <c r="AT17" s="16"/>
      <c r="AU17" s="51"/>
      <c r="AV17" s="18"/>
      <c r="AW17" s="18" t="str">
        <f t="shared" si="0"/>
        <v/>
      </c>
      <c r="AX17" s="18" t="str">
        <f t="shared" si="1"/>
        <v/>
      </c>
      <c r="AY17" s="18" t="str">
        <f t="shared" si="7"/>
        <v/>
      </c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 t="str">
        <f t="shared" si="8"/>
        <v/>
      </c>
      <c r="BF17" s="18" t="str">
        <f t="shared" si="4"/>
        <v/>
      </c>
      <c r="BG17" s="18" t="str">
        <f t="shared" si="5"/>
        <v/>
      </c>
      <c r="BH17" s="18" t="str">
        <f t="shared" si="6"/>
        <v/>
      </c>
    </row>
    <row r="18" spans="1:60" s="246" customFormat="1" ht="8.25" customHeight="1">
      <c r="A18" s="1"/>
      <c r="B18" s="2"/>
      <c r="C18" s="3"/>
      <c r="D18" s="138"/>
      <c r="E18" s="4"/>
      <c r="F18" s="5"/>
      <c r="G18" s="6"/>
      <c r="H18" s="7"/>
      <c r="I18" s="7"/>
      <c r="J18" s="6"/>
      <c r="K18" s="7"/>
      <c r="L18" s="95"/>
      <c r="M18" s="12"/>
      <c r="N18" s="12"/>
      <c r="O18" s="2"/>
      <c r="P18" s="56"/>
      <c r="Q18" s="9"/>
      <c r="R18" s="10"/>
      <c r="S18" s="11"/>
      <c r="T18" s="12"/>
      <c r="U18" s="12"/>
      <c r="V18" s="12"/>
      <c r="W18" s="12"/>
      <c r="X18" s="2"/>
      <c r="Y18" s="2"/>
      <c r="Z18" s="2"/>
      <c r="AA18" s="2"/>
      <c r="AB18" s="59"/>
      <c r="AC18" s="62"/>
      <c r="AD18" s="2"/>
      <c r="AE18" s="2"/>
      <c r="AF18" s="2"/>
      <c r="AG18" s="2"/>
      <c r="AH18" s="2"/>
      <c r="AI18" s="12"/>
      <c r="AJ18" s="12"/>
      <c r="AK18" s="12"/>
      <c r="AL18" s="13"/>
      <c r="AM18" s="11"/>
      <c r="AN18" s="12"/>
      <c r="AO18" s="4"/>
      <c r="AP18" s="14"/>
      <c r="AQ18" s="2"/>
      <c r="AR18" s="15"/>
      <c r="AS18" s="16"/>
      <c r="AT18" s="15"/>
      <c r="AU18" s="17"/>
      <c r="AV18" s="18"/>
      <c r="AW18" s="18" t="str">
        <f t="shared" si="0"/>
        <v/>
      </c>
      <c r="AX18" s="18" t="str">
        <f t="shared" si="1"/>
        <v/>
      </c>
      <c r="AY18" s="18" t="str">
        <f t="shared" si="7"/>
        <v/>
      </c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 t="str">
        <f t="shared" si="8"/>
        <v/>
      </c>
      <c r="BF18" s="18" t="str">
        <f t="shared" si="4"/>
        <v/>
      </c>
      <c r="BG18" s="18" t="str">
        <f t="shared" si="5"/>
        <v/>
      </c>
      <c r="BH18" s="18" t="str">
        <f t="shared" si="6"/>
        <v/>
      </c>
    </row>
    <row r="19" spans="1:60" s="246" customFormat="1" ht="8.25" customHeight="1">
      <c r="A19" s="1"/>
      <c r="B19" s="2"/>
      <c r="C19" s="3"/>
      <c r="D19" s="138"/>
      <c r="E19" s="4"/>
      <c r="F19" s="5"/>
      <c r="G19" s="6"/>
      <c r="H19" s="7"/>
      <c r="I19" s="7"/>
      <c r="J19" s="6"/>
      <c r="K19" s="7"/>
      <c r="L19" s="95"/>
      <c r="M19" s="12"/>
      <c r="N19" s="12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5"/>
      <c r="AS19" s="16"/>
      <c r="AT19" s="15"/>
      <c r="AU19" s="17"/>
      <c r="AV19" s="18"/>
      <c r="AW19" s="18" t="str">
        <f t="shared" si="0"/>
        <v/>
      </c>
      <c r="AX19" s="18" t="str">
        <f t="shared" si="1"/>
        <v/>
      </c>
      <c r="AY19" s="18" t="str">
        <f t="shared" si="7"/>
        <v/>
      </c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 t="str">
        <f t="shared" si="8"/>
        <v/>
      </c>
      <c r="BF19" s="18" t="str">
        <f t="shared" si="4"/>
        <v/>
      </c>
      <c r="BG19" s="18" t="str">
        <f t="shared" si="5"/>
        <v/>
      </c>
      <c r="BH19" s="18" t="str">
        <f t="shared" si="6"/>
        <v/>
      </c>
    </row>
    <row r="20" spans="1:60" s="246" customFormat="1" ht="8.25" customHeight="1">
      <c r="A20" s="1"/>
      <c r="B20" s="2"/>
      <c r="C20" s="3"/>
      <c r="D20" s="138"/>
      <c r="E20" s="4"/>
      <c r="F20" s="5"/>
      <c r="G20" s="6"/>
      <c r="H20" s="7"/>
      <c r="I20" s="7"/>
      <c r="J20" s="6"/>
      <c r="K20" s="7"/>
      <c r="L20" s="95"/>
      <c r="M20" s="12"/>
      <c r="N20" s="12"/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F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 t="str">
        <f t="shared" si="7"/>
        <v/>
      </c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 t="str">
        <f t="shared" si="8"/>
        <v/>
      </c>
      <c r="BF20" s="18" t="str">
        <f t="shared" si="4"/>
        <v/>
      </c>
      <c r="BG20" s="18" t="str">
        <f t="shared" si="5"/>
        <v/>
      </c>
      <c r="BH20" s="18" t="str">
        <f t="shared" si="6"/>
        <v/>
      </c>
    </row>
    <row r="21" spans="1:60" s="246" customFormat="1" ht="8.25" customHeight="1">
      <c r="A21" s="1"/>
      <c r="B21" s="2"/>
      <c r="C21" s="3"/>
      <c r="D21" s="138"/>
      <c r="E21" s="4"/>
      <c r="F21" s="5"/>
      <c r="G21" s="6"/>
      <c r="H21" s="7"/>
      <c r="I21" s="7"/>
      <c r="J21" s="6"/>
      <c r="K21" s="7"/>
      <c r="L21" s="95"/>
      <c r="M21" s="12"/>
      <c r="N21" s="12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5"/>
      <c r="AS21" s="16"/>
      <c r="AT21" s="15"/>
      <c r="AU21" s="17"/>
      <c r="AV21" s="18"/>
      <c r="AW21" s="18" t="str">
        <f t="shared" si="0"/>
        <v/>
      </c>
      <c r="AX21" s="18" t="str">
        <f t="shared" si="1"/>
        <v/>
      </c>
      <c r="AY21" s="18" t="str">
        <f t="shared" si="7"/>
        <v/>
      </c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 t="str">
        <f t="shared" si="8"/>
        <v/>
      </c>
      <c r="BF21" s="18" t="str">
        <f t="shared" si="4"/>
        <v/>
      </c>
      <c r="BG21" s="18" t="str">
        <f t="shared" si="5"/>
        <v/>
      </c>
      <c r="BH21" s="18" t="str">
        <f t="shared" si="6"/>
        <v/>
      </c>
    </row>
    <row r="22" spans="1:60" s="246" customFormat="1" ht="8.25" customHeight="1">
      <c r="A22" s="1"/>
      <c r="B22" s="2"/>
      <c r="C22" s="3"/>
      <c r="D22" s="138"/>
      <c r="E22" s="4"/>
      <c r="F22" s="5"/>
      <c r="G22" s="6"/>
      <c r="H22" s="7"/>
      <c r="I22" s="7"/>
      <c r="J22" s="6"/>
      <c r="K22" s="7"/>
      <c r="L22" s="95"/>
      <c r="M22" s="12"/>
      <c r="N22" s="12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5"/>
      <c r="AS22" s="16"/>
      <c r="AT22" s="15"/>
      <c r="AU22" s="17"/>
      <c r="AV22" s="18"/>
      <c r="AW22" s="18" t="str">
        <f t="shared" si="0"/>
        <v/>
      </c>
      <c r="AX22" s="18" t="str">
        <f t="shared" si="1"/>
        <v/>
      </c>
      <c r="AY22" s="18" t="str">
        <f t="shared" si="7"/>
        <v/>
      </c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 t="str">
        <f t="shared" si="8"/>
        <v/>
      </c>
      <c r="BF22" s="18" t="str">
        <f t="shared" si="4"/>
        <v/>
      </c>
      <c r="BG22" s="18" t="str">
        <f t="shared" si="5"/>
        <v/>
      </c>
      <c r="BH22" s="18" t="str">
        <f t="shared" si="6"/>
        <v/>
      </c>
    </row>
    <row r="23" spans="1:60" s="246" customFormat="1" ht="8.25" customHeight="1">
      <c r="A23" s="1"/>
      <c r="B23" s="2"/>
      <c r="C23" s="3"/>
      <c r="D23" s="138"/>
      <c r="E23" s="4"/>
      <c r="F23" s="5"/>
      <c r="G23" s="6"/>
      <c r="H23" s="7"/>
      <c r="I23" s="7"/>
      <c r="J23" s="6"/>
      <c r="K23" s="7"/>
      <c r="L23" s="95"/>
      <c r="M23" s="12"/>
      <c r="N23" s="12"/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F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6"/>
      <c r="AS23" s="16"/>
      <c r="AT23" s="16"/>
      <c r="AU23" s="51"/>
      <c r="AV23" s="18"/>
      <c r="AW23" s="18" t="str">
        <f t="shared" si="0"/>
        <v/>
      </c>
      <c r="AX23" s="18" t="str">
        <f t="shared" si="1"/>
        <v/>
      </c>
      <c r="AY23" s="18" t="str">
        <f t="shared" si="7"/>
        <v/>
      </c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 t="str">
        <f t="shared" si="8"/>
        <v/>
      </c>
      <c r="BF23" s="18" t="str">
        <f t="shared" si="4"/>
        <v/>
      </c>
      <c r="BG23" s="18" t="str">
        <f t="shared" si="5"/>
        <v/>
      </c>
      <c r="BH23" s="18" t="str">
        <f t="shared" si="6"/>
        <v/>
      </c>
    </row>
    <row r="24" spans="1:60" s="246" customFormat="1" ht="8.25" customHeight="1">
      <c r="A24" s="1"/>
      <c r="B24" s="2"/>
      <c r="C24" s="3"/>
      <c r="D24" s="138"/>
      <c r="E24" s="4"/>
      <c r="F24" s="5"/>
      <c r="G24" s="6"/>
      <c r="H24" s="7"/>
      <c r="I24" s="7"/>
      <c r="J24" s="6"/>
      <c r="K24" s="7"/>
      <c r="L24" s="95"/>
      <c r="M24" s="12"/>
      <c r="N24" s="12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 t="str">
        <f t="shared" si="7"/>
        <v/>
      </c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 t="str">
        <f t="shared" si="8"/>
        <v/>
      </c>
      <c r="BF24" s="18" t="str">
        <f t="shared" si="4"/>
        <v/>
      </c>
      <c r="BG24" s="18" t="str">
        <f t="shared" si="5"/>
        <v/>
      </c>
      <c r="BH24" s="18" t="str">
        <f t="shared" si="6"/>
        <v/>
      </c>
    </row>
    <row r="25" spans="1:60" s="246" customFormat="1" ht="8.25" customHeight="1">
      <c r="A25" s="1"/>
      <c r="B25" s="2"/>
      <c r="C25" s="3"/>
      <c r="D25" s="138"/>
      <c r="E25" s="4"/>
      <c r="F25" s="5"/>
      <c r="G25" s="6"/>
      <c r="H25" s="7"/>
      <c r="I25" s="7"/>
      <c r="J25" s="6"/>
      <c r="K25" s="7"/>
      <c r="L25" s="95"/>
      <c r="M25" s="12"/>
      <c r="N25" s="12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5"/>
      <c r="AS25" s="16"/>
      <c r="AT25" s="15"/>
      <c r="AU25" s="17"/>
      <c r="AV25" s="18"/>
      <c r="AW25" s="18" t="str">
        <f t="shared" si="0"/>
        <v/>
      </c>
      <c r="AX25" s="18" t="str">
        <f t="shared" si="1"/>
        <v/>
      </c>
      <c r="AY25" s="18" t="str">
        <f t="shared" si="7"/>
        <v/>
      </c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 t="str">
        <f t="shared" si="8"/>
        <v/>
      </c>
      <c r="BF25" s="18" t="str">
        <f t="shared" si="4"/>
        <v/>
      </c>
      <c r="BG25" s="18" t="str">
        <f t="shared" si="5"/>
        <v/>
      </c>
      <c r="BH25" s="18" t="str">
        <f t="shared" si="6"/>
        <v/>
      </c>
    </row>
    <row r="26" spans="1:60" s="246" customFormat="1" ht="8.25" customHeight="1">
      <c r="A26" s="1"/>
      <c r="B26" s="2"/>
      <c r="C26" s="3"/>
      <c r="D26" s="138"/>
      <c r="E26" s="4"/>
      <c r="F26" s="5"/>
      <c r="G26" s="6"/>
      <c r="H26" s="7"/>
      <c r="I26" s="7"/>
      <c r="J26" s="6"/>
      <c r="K26" s="7"/>
      <c r="L26" s="95"/>
      <c r="M26" s="12"/>
      <c r="N26" s="12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 t="str">
        <f t="shared" si="7"/>
        <v/>
      </c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 t="str">
        <f t="shared" si="8"/>
        <v/>
      </c>
      <c r="BF26" s="18" t="str">
        <f t="shared" si="4"/>
        <v/>
      </c>
      <c r="BG26" s="18" t="str">
        <f t="shared" si="5"/>
        <v/>
      </c>
      <c r="BH26" s="18" t="str">
        <f t="shared" si="6"/>
        <v/>
      </c>
    </row>
    <row r="27" spans="1:60" s="246" customFormat="1" ht="8.25" customHeight="1">
      <c r="A27" s="1"/>
      <c r="B27" s="2"/>
      <c r="C27" s="3"/>
      <c r="D27" s="138"/>
      <c r="E27" s="4"/>
      <c r="F27" s="5"/>
      <c r="G27" s="6"/>
      <c r="H27" s="7"/>
      <c r="I27" s="7"/>
      <c r="J27" s="6"/>
      <c r="K27" s="7"/>
      <c r="L27" s="95"/>
      <c r="M27" s="12"/>
      <c r="N27" s="12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6"/>
      <c r="AS27" s="16"/>
      <c r="AT27" s="16"/>
      <c r="AU27" s="51"/>
      <c r="AV27" s="18"/>
      <c r="AW27" s="18" t="str">
        <f t="shared" si="0"/>
        <v/>
      </c>
      <c r="AX27" s="18" t="str">
        <f t="shared" si="1"/>
        <v/>
      </c>
      <c r="AY27" s="18" t="str">
        <f t="shared" si="7"/>
        <v/>
      </c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 t="str">
        <f t="shared" si="8"/>
        <v/>
      </c>
      <c r="BF27" s="18" t="str">
        <f t="shared" si="4"/>
        <v/>
      </c>
      <c r="BG27" s="18" t="str">
        <f t="shared" si="5"/>
        <v/>
      </c>
      <c r="BH27" s="18" t="str">
        <f t="shared" si="6"/>
        <v/>
      </c>
    </row>
    <row r="28" spans="1:60" s="246" customFormat="1" ht="8.25" customHeight="1">
      <c r="A28" s="1"/>
      <c r="B28" s="2"/>
      <c r="C28" s="3"/>
      <c r="D28" s="138"/>
      <c r="E28" s="4"/>
      <c r="F28" s="5"/>
      <c r="G28" s="6"/>
      <c r="H28" s="7"/>
      <c r="I28" s="7"/>
      <c r="J28" s="6"/>
      <c r="K28" s="7"/>
      <c r="L28" s="95"/>
      <c r="M28" s="12"/>
      <c r="N28" s="12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6"/>
      <c r="AS28" s="16"/>
      <c r="AT28" s="16"/>
      <c r="AU28" s="51"/>
      <c r="AV28" s="18"/>
      <c r="AW28" s="18" t="str">
        <f t="shared" si="0"/>
        <v/>
      </c>
      <c r="AX28" s="18" t="str">
        <f t="shared" si="1"/>
        <v/>
      </c>
      <c r="AY28" s="18" t="str">
        <f t="shared" si="7"/>
        <v/>
      </c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 t="str">
        <f t="shared" si="8"/>
        <v/>
      </c>
      <c r="BF28" s="18" t="str">
        <f t="shared" si="4"/>
        <v/>
      </c>
      <c r="BG28" s="18" t="str">
        <f t="shared" si="5"/>
        <v/>
      </c>
      <c r="BH28" s="18" t="str">
        <f t="shared" si="6"/>
        <v/>
      </c>
    </row>
    <row r="29" spans="1:60" s="246" customFormat="1" ht="8.25" customHeight="1">
      <c r="A29" s="1"/>
      <c r="B29" s="2"/>
      <c r="C29" s="3"/>
      <c r="D29" s="138"/>
      <c r="E29" s="4"/>
      <c r="F29" s="5"/>
      <c r="G29" s="6"/>
      <c r="H29" s="7"/>
      <c r="I29" s="7"/>
      <c r="J29" s="6"/>
      <c r="K29" s="7"/>
      <c r="L29" s="95"/>
      <c r="M29" s="12"/>
      <c r="N29" s="12"/>
      <c r="O29" s="2"/>
      <c r="P29" s="56"/>
      <c r="Q29" s="9"/>
      <c r="R29" s="10"/>
      <c r="S29" s="11"/>
      <c r="T29" s="12"/>
      <c r="U29" s="12"/>
      <c r="V29" s="12"/>
      <c r="W29" s="12"/>
      <c r="X29" s="2"/>
      <c r="Y29" s="2"/>
      <c r="Z29" s="2"/>
      <c r="AA29" s="2"/>
      <c r="AB29" s="59"/>
      <c r="AC29" s="62"/>
      <c r="AD29" s="2"/>
      <c r="AE29" s="2"/>
      <c r="AF29" s="2"/>
      <c r="AG29" s="2"/>
      <c r="AH29" s="2"/>
      <c r="AI29" s="12"/>
      <c r="AJ29" s="12"/>
      <c r="AK29" s="12"/>
      <c r="AL29" s="13"/>
      <c r="AM29" s="11"/>
      <c r="AN29" s="12"/>
      <c r="AO29" s="4"/>
      <c r="AP29" s="14"/>
      <c r="AQ29" s="2"/>
      <c r="AR29" s="15"/>
      <c r="AS29" s="16"/>
      <c r="AT29" s="15"/>
      <c r="AU29" s="17"/>
      <c r="AV29" s="18"/>
      <c r="AW29" s="18" t="str">
        <f t="shared" si="0"/>
        <v/>
      </c>
      <c r="AX29" s="18" t="str">
        <f t="shared" si="1"/>
        <v/>
      </c>
      <c r="AY29" s="18" t="str">
        <f t="shared" si="7"/>
        <v/>
      </c>
      <c r="AZ29" s="18"/>
      <c r="BA29" s="18"/>
      <c r="BB29" s="18"/>
      <c r="BC29" s="18" t="str">
        <f t="shared" si="2"/>
        <v/>
      </c>
      <c r="BD29" s="18" t="str">
        <f t="shared" si="3"/>
        <v/>
      </c>
      <c r="BE29" s="18" t="str">
        <f t="shared" si="8"/>
        <v/>
      </c>
      <c r="BF29" s="18" t="str">
        <f t="shared" si="4"/>
        <v/>
      </c>
      <c r="BG29" s="18" t="str">
        <f t="shared" si="5"/>
        <v/>
      </c>
      <c r="BH29" s="18" t="str">
        <f t="shared" si="6"/>
        <v/>
      </c>
    </row>
    <row r="30" spans="1:60" s="246" customFormat="1" ht="8.25" customHeight="1">
      <c r="A30" s="1"/>
      <c r="B30" s="2"/>
      <c r="C30" s="3"/>
      <c r="D30" s="138"/>
      <c r="E30" s="4"/>
      <c r="F30" s="5"/>
      <c r="G30" s="6"/>
      <c r="H30" s="7"/>
      <c r="I30" s="7"/>
      <c r="J30" s="6"/>
      <c r="K30" s="7"/>
      <c r="L30" s="95"/>
      <c r="M30" s="12"/>
      <c r="N30" s="12"/>
      <c r="O30" s="2"/>
      <c r="P30" s="56"/>
      <c r="Q30" s="9"/>
      <c r="R30" s="10"/>
      <c r="S30" s="11"/>
      <c r="T30" s="12"/>
      <c r="U30" s="12"/>
      <c r="V30" s="12"/>
      <c r="W30" s="12"/>
      <c r="X30" s="2"/>
      <c r="Y30" s="2"/>
      <c r="Z30" s="2"/>
      <c r="AA30" s="2"/>
      <c r="AB30" s="59"/>
      <c r="AC30" s="62"/>
      <c r="AD30" s="2"/>
      <c r="AE30" s="2"/>
      <c r="AF30" s="2"/>
      <c r="AG30" s="2"/>
      <c r="AH30" s="2"/>
      <c r="AI30" s="12"/>
      <c r="AJ30" s="12"/>
      <c r="AK30" s="12"/>
      <c r="AL30" s="13"/>
      <c r="AM30" s="11"/>
      <c r="AN30" s="12"/>
      <c r="AO30" s="4"/>
      <c r="AP30" s="14"/>
      <c r="AQ30" s="2"/>
      <c r="AR30" s="15"/>
      <c r="AS30" s="16"/>
      <c r="AT30" s="15"/>
      <c r="AU30" s="17"/>
      <c r="AV30" s="18"/>
      <c r="AW30" s="18" t="str">
        <f t="shared" si="0"/>
        <v/>
      </c>
      <c r="AX30" s="18" t="str">
        <f t="shared" si="1"/>
        <v/>
      </c>
      <c r="AY30" s="18" t="str">
        <f t="shared" si="7"/>
        <v/>
      </c>
      <c r="AZ30" s="18"/>
      <c r="BA30" s="18"/>
      <c r="BB30" s="18"/>
      <c r="BC30" s="18" t="str">
        <f t="shared" si="2"/>
        <v/>
      </c>
      <c r="BD30" s="18" t="str">
        <f t="shared" si="3"/>
        <v/>
      </c>
      <c r="BE30" s="18" t="str">
        <f t="shared" si="8"/>
        <v/>
      </c>
      <c r="BF30" s="18" t="str">
        <f t="shared" si="4"/>
        <v/>
      </c>
      <c r="BG30" s="18" t="str">
        <f t="shared" si="5"/>
        <v/>
      </c>
      <c r="BH30" s="18" t="str">
        <f t="shared" si="6"/>
        <v/>
      </c>
    </row>
    <row r="31" spans="1:60" s="246" customFormat="1" ht="8.25" customHeight="1">
      <c r="A31" s="1"/>
      <c r="B31" s="2"/>
      <c r="C31" s="3"/>
      <c r="D31" s="138"/>
      <c r="E31" s="4"/>
      <c r="F31" s="5"/>
      <c r="G31" s="6"/>
      <c r="H31" s="7"/>
      <c r="I31" s="7"/>
      <c r="J31" s="6"/>
      <c r="K31" s="7"/>
      <c r="L31" s="95"/>
      <c r="M31" s="12"/>
      <c r="N31" s="12"/>
      <c r="O31" s="2"/>
      <c r="P31" s="56"/>
      <c r="Q31" s="9"/>
      <c r="R31" s="10"/>
      <c r="S31" s="11"/>
      <c r="T31" s="12"/>
      <c r="U31" s="12"/>
      <c r="V31" s="12"/>
      <c r="W31" s="12"/>
      <c r="X31" s="2"/>
      <c r="Y31" s="2"/>
      <c r="Z31" s="2"/>
      <c r="AA31" s="2"/>
      <c r="AB31" s="59"/>
      <c r="AC31" s="62"/>
      <c r="AD31" s="2"/>
      <c r="AE31" s="2"/>
      <c r="AF31" s="2"/>
      <c r="AG31" s="2"/>
      <c r="AH31" s="2"/>
      <c r="AI31" s="12"/>
      <c r="AJ31" s="12"/>
      <c r="AK31" s="12"/>
      <c r="AL31" s="13"/>
      <c r="AM31" s="11"/>
      <c r="AN31" s="12"/>
      <c r="AO31" s="4"/>
      <c r="AP31" s="14"/>
      <c r="AQ31" s="2"/>
      <c r="AR31" s="15"/>
      <c r="AS31" s="16"/>
      <c r="AT31" s="15"/>
      <c r="AU31" s="17"/>
      <c r="AV31" s="18"/>
      <c r="AW31" s="18" t="str">
        <f t="shared" si="0"/>
        <v/>
      </c>
      <c r="AX31" s="18" t="str">
        <f t="shared" si="1"/>
        <v/>
      </c>
      <c r="AY31" s="18" t="str">
        <f t="shared" si="7"/>
        <v/>
      </c>
      <c r="AZ31" s="18"/>
      <c r="BA31" s="18"/>
      <c r="BB31" s="18"/>
      <c r="BC31" s="18" t="str">
        <f t="shared" si="2"/>
        <v/>
      </c>
      <c r="BD31" s="18" t="str">
        <f t="shared" si="3"/>
        <v/>
      </c>
      <c r="BE31" s="18" t="str">
        <f t="shared" si="8"/>
        <v/>
      </c>
      <c r="BF31" s="18" t="str">
        <f t="shared" si="4"/>
        <v/>
      </c>
      <c r="BG31" s="18" t="str">
        <f t="shared" si="5"/>
        <v/>
      </c>
      <c r="BH31" s="18" t="str">
        <f t="shared" si="6"/>
        <v/>
      </c>
    </row>
    <row r="32" spans="1:60" s="246" customFormat="1" ht="8.25" customHeight="1">
      <c r="A32" s="1"/>
      <c r="B32" s="2"/>
      <c r="C32" s="3"/>
      <c r="D32" s="138"/>
      <c r="E32" s="4"/>
      <c r="F32" s="5"/>
      <c r="G32" s="6"/>
      <c r="H32" s="7"/>
      <c r="I32" s="7"/>
      <c r="J32" s="6"/>
      <c r="K32" s="7"/>
      <c r="L32" s="95"/>
      <c r="M32" s="12"/>
      <c r="N32" s="12"/>
      <c r="O32" s="2"/>
      <c r="P32" s="56"/>
      <c r="Q32" s="9"/>
      <c r="R32" s="10"/>
      <c r="S32" s="11"/>
      <c r="T32" s="12"/>
      <c r="U32" s="12"/>
      <c r="V32" s="12"/>
      <c r="W32" s="12"/>
      <c r="X32" s="2"/>
      <c r="Y32" s="2"/>
      <c r="Z32" s="2"/>
      <c r="AA32" s="2"/>
      <c r="AB32" s="59"/>
      <c r="AC32" s="62"/>
      <c r="AD32" s="2"/>
      <c r="AE32" s="2"/>
      <c r="AF32" s="2"/>
      <c r="AG32" s="2"/>
      <c r="AH32" s="2"/>
      <c r="AI32" s="12"/>
      <c r="AJ32" s="12"/>
      <c r="AK32" s="12"/>
      <c r="AL32" s="13"/>
      <c r="AM32" s="11"/>
      <c r="AN32" s="12"/>
      <c r="AO32" s="4"/>
      <c r="AP32" s="14"/>
      <c r="AQ32" s="2"/>
      <c r="AR32" s="16"/>
      <c r="AS32" s="16"/>
      <c r="AT32" s="16"/>
      <c r="AU32" s="51"/>
      <c r="AV32" s="18"/>
      <c r="AW32" s="18" t="str">
        <f t="shared" si="0"/>
        <v/>
      </c>
      <c r="AX32" s="18" t="str">
        <f t="shared" si="1"/>
        <v/>
      </c>
      <c r="AY32" s="18" t="str">
        <f t="shared" si="7"/>
        <v/>
      </c>
      <c r="AZ32" s="18"/>
      <c r="BA32" s="18"/>
      <c r="BB32" s="18"/>
      <c r="BC32" s="18" t="str">
        <f t="shared" si="2"/>
        <v/>
      </c>
      <c r="BD32" s="18" t="str">
        <f t="shared" si="3"/>
        <v/>
      </c>
      <c r="BE32" s="18" t="str">
        <f t="shared" si="8"/>
        <v/>
      </c>
      <c r="BF32" s="18" t="str">
        <f t="shared" si="4"/>
        <v/>
      </c>
      <c r="BG32" s="18" t="str">
        <f t="shared" si="5"/>
        <v/>
      </c>
      <c r="BH32" s="18" t="str">
        <f t="shared" si="6"/>
        <v/>
      </c>
    </row>
    <row r="33" spans="1:60" s="246" customFormat="1" ht="8.25" customHeight="1">
      <c r="A33" s="1"/>
      <c r="B33" s="2"/>
      <c r="C33" s="3"/>
      <c r="D33" s="138"/>
      <c r="E33" s="4"/>
      <c r="F33" s="5"/>
      <c r="G33" s="6"/>
      <c r="H33" s="7"/>
      <c r="I33" s="7"/>
      <c r="J33" s="6"/>
      <c r="K33" s="7"/>
      <c r="L33" s="95"/>
      <c r="M33" s="12"/>
      <c r="N33" s="12"/>
      <c r="O33" s="2"/>
      <c r="P33" s="56"/>
      <c r="Q33" s="9"/>
      <c r="R33" s="10"/>
      <c r="S33" s="11"/>
      <c r="T33" s="12"/>
      <c r="U33" s="12"/>
      <c r="V33" s="12"/>
      <c r="W33" s="12"/>
      <c r="X33" s="2"/>
      <c r="Y33" s="2"/>
      <c r="Z33" s="2"/>
      <c r="AA33" s="2"/>
      <c r="AB33" s="59"/>
      <c r="AC33" s="62"/>
      <c r="AD33" s="2"/>
      <c r="AE33" s="2"/>
      <c r="AF33" s="2"/>
      <c r="AG33" s="2"/>
      <c r="AH33" s="2"/>
      <c r="AI33" s="12"/>
      <c r="AJ33" s="12"/>
      <c r="AK33" s="12"/>
      <c r="AL33" s="13"/>
      <c r="AM33" s="11"/>
      <c r="AN33" s="12"/>
      <c r="AO33" s="4"/>
      <c r="AP33" s="14"/>
      <c r="AQ33" s="2"/>
      <c r="AR33" s="15"/>
      <c r="AS33" s="16"/>
      <c r="AT33" s="15"/>
      <c r="AU33" s="17"/>
      <c r="AV33" s="18"/>
      <c r="AW33" s="18" t="str">
        <f t="shared" si="0"/>
        <v/>
      </c>
      <c r="AX33" s="18" t="str">
        <f t="shared" si="1"/>
        <v/>
      </c>
      <c r="AY33" s="18" t="str">
        <f t="shared" si="7"/>
        <v/>
      </c>
      <c r="AZ33" s="18"/>
      <c r="BA33" s="18"/>
      <c r="BB33" s="18"/>
      <c r="BC33" s="18" t="str">
        <f t="shared" si="2"/>
        <v/>
      </c>
      <c r="BD33" s="18" t="str">
        <f t="shared" si="3"/>
        <v/>
      </c>
      <c r="BE33" s="18" t="str">
        <f t="shared" si="8"/>
        <v/>
      </c>
      <c r="BF33" s="18" t="str">
        <f t="shared" si="4"/>
        <v/>
      </c>
      <c r="BG33" s="18" t="str">
        <f t="shared" si="5"/>
        <v/>
      </c>
      <c r="BH33" s="18" t="str">
        <f t="shared" si="6"/>
        <v/>
      </c>
    </row>
    <row r="34" spans="1:60" s="246" customFormat="1" ht="8.25" customHeight="1">
      <c r="A34" s="1"/>
      <c r="B34" s="2"/>
      <c r="C34" s="3"/>
      <c r="D34" s="138"/>
      <c r="E34" s="4"/>
      <c r="F34" s="5"/>
      <c r="G34" s="6"/>
      <c r="H34" s="7"/>
      <c r="I34" s="7"/>
      <c r="J34" s="6"/>
      <c r="K34" s="7"/>
      <c r="L34" s="95"/>
      <c r="M34" s="12"/>
      <c r="N34" s="12"/>
      <c r="O34" s="2"/>
      <c r="P34" s="56"/>
      <c r="Q34" s="9"/>
      <c r="R34" s="10"/>
      <c r="S34" s="11"/>
      <c r="T34" s="12"/>
      <c r="U34" s="12"/>
      <c r="V34" s="12"/>
      <c r="W34" s="12"/>
      <c r="X34" s="2"/>
      <c r="Y34" s="2"/>
      <c r="Z34" s="2"/>
      <c r="AA34" s="2"/>
      <c r="AB34" s="59"/>
      <c r="AC34" s="62"/>
      <c r="AD34" s="2"/>
      <c r="AE34" s="2"/>
      <c r="AF34" s="2"/>
      <c r="AG34" s="2"/>
      <c r="AH34" s="2"/>
      <c r="AI34" s="12"/>
      <c r="AJ34" s="12"/>
      <c r="AK34" s="12"/>
      <c r="AL34" s="13"/>
      <c r="AM34" s="11"/>
      <c r="AN34" s="12"/>
      <c r="AO34" s="4"/>
      <c r="AP34" s="14"/>
      <c r="AQ34" s="2"/>
      <c r="AR34" s="15"/>
      <c r="AS34" s="16"/>
      <c r="AT34" s="15"/>
      <c r="AU34" s="17"/>
      <c r="AV34" s="18"/>
      <c r="AW34" s="18" t="str">
        <f t="shared" si="0"/>
        <v/>
      </c>
      <c r="AX34" s="18" t="str">
        <f t="shared" si="1"/>
        <v/>
      </c>
      <c r="AY34" s="18" t="str">
        <f t="shared" si="7"/>
        <v/>
      </c>
      <c r="AZ34" s="18"/>
      <c r="BA34" s="18"/>
      <c r="BB34" s="18"/>
      <c r="BC34" s="18" t="str">
        <f t="shared" si="2"/>
        <v/>
      </c>
      <c r="BD34" s="18" t="str">
        <f t="shared" si="3"/>
        <v/>
      </c>
      <c r="BE34" s="18" t="str">
        <f t="shared" si="8"/>
        <v/>
      </c>
      <c r="BF34" s="18" t="str">
        <f t="shared" si="4"/>
        <v/>
      </c>
      <c r="BG34" s="18" t="str">
        <f t="shared" si="5"/>
        <v/>
      </c>
      <c r="BH34" s="18" t="str">
        <f t="shared" si="6"/>
        <v/>
      </c>
    </row>
    <row r="35" spans="1:60" s="246" customFormat="1" ht="8.25" customHeight="1">
      <c r="A35" s="1"/>
      <c r="B35" s="2"/>
      <c r="C35" s="3"/>
      <c r="D35" s="138"/>
      <c r="E35" s="4"/>
      <c r="F35" s="5"/>
      <c r="G35" s="6"/>
      <c r="H35" s="7"/>
      <c r="I35" s="7"/>
      <c r="J35" s="6"/>
      <c r="K35" s="7"/>
      <c r="L35" s="95"/>
      <c r="M35" s="12"/>
      <c r="N35" s="12"/>
      <c r="O35" s="2"/>
      <c r="P35" s="56"/>
      <c r="Q35" s="9"/>
      <c r="R35" s="10"/>
      <c r="S35" s="11"/>
      <c r="T35" s="12"/>
      <c r="U35" s="12"/>
      <c r="V35" s="12"/>
      <c r="W35" s="12"/>
      <c r="X35" s="2"/>
      <c r="Y35" s="2"/>
      <c r="Z35" s="2"/>
      <c r="AA35" s="2"/>
      <c r="AB35" s="59"/>
      <c r="AC35" s="62"/>
      <c r="AD35" s="2"/>
      <c r="AE35" s="2"/>
      <c r="AF35" s="2"/>
      <c r="AG35" s="2"/>
      <c r="AH35" s="2"/>
      <c r="AI35" s="12"/>
      <c r="AJ35" s="12"/>
      <c r="AK35" s="12"/>
      <c r="AL35" s="13"/>
      <c r="AM35" s="11"/>
      <c r="AN35" s="12"/>
      <c r="AO35" s="4"/>
      <c r="AP35" s="14"/>
      <c r="AQ35" s="2"/>
      <c r="AR35" s="15"/>
      <c r="AS35" s="16"/>
      <c r="AT35" s="15"/>
      <c r="AU35" s="17"/>
      <c r="AV35" s="18"/>
      <c r="AW35" s="18" t="str">
        <f t="shared" si="0"/>
        <v/>
      </c>
      <c r="AX35" s="18" t="str">
        <f t="shared" si="1"/>
        <v/>
      </c>
      <c r="AY35" s="18" t="str">
        <f t="shared" si="7"/>
        <v/>
      </c>
      <c r="AZ35" s="18"/>
      <c r="BA35" s="18"/>
      <c r="BB35" s="18"/>
      <c r="BC35" s="18" t="str">
        <f t="shared" si="2"/>
        <v/>
      </c>
      <c r="BD35" s="18" t="str">
        <f t="shared" si="3"/>
        <v/>
      </c>
      <c r="BE35" s="18" t="str">
        <f t="shared" si="8"/>
        <v/>
      </c>
      <c r="BF35" s="18" t="str">
        <f t="shared" si="4"/>
        <v/>
      </c>
      <c r="BG35" s="18" t="str">
        <f t="shared" si="5"/>
        <v/>
      </c>
      <c r="BH35" s="18" t="str">
        <f t="shared" si="6"/>
        <v/>
      </c>
    </row>
    <row r="36" spans="1:60" s="246" customFormat="1" ht="8.25" customHeight="1" thickBot="1">
      <c r="A36" s="31"/>
      <c r="B36" s="32"/>
      <c r="C36" s="33"/>
      <c r="D36" s="34"/>
      <c r="E36" s="35"/>
      <c r="F36" s="36"/>
      <c r="G36" s="32"/>
      <c r="H36" s="37"/>
      <c r="I36" s="37"/>
      <c r="J36" s="32"/>
      <c r="K36" s="37"/>
      <c r="L36" s="37"/>
      <c r="M36" s="39"/>
      <c r="N36" s="39"/>
      <c r="O36" s="32"/>
      <c r="P36" s="57"/>
      <c r="Q36" s="41"/>
      <c r="R36" s="42"/>
      <c r="S36" s="43"/>
      <c r="T36" s="39"/>
      <c r="U36" s="39"/>
      <c r="V36" s="39"/>
      <c r="W36" s="39"/>
      <c r="X36" s="39"/>
      <c r="Y36" s="39"/>
      <c r="Z36" s="39"/>
      <c r="AA36" s="39"/>
      <c r="AB36" s="60"/>
      <c r="AC36" s="63"/>
      <c r="AD36" s="39"/>
      <c r="AE36" s="39"/>
      <c r="AF36" s="39"/>
      <c r="AG36" s="39"/>
      <c r="AH36" s="39"/>
      <c r="AI36" s="39"/>
      <c r="AJ36" s="39"/>
      <c r="AK36" s="39"/>
      <c r="AL36" s="40"/>
      <c r="AM36" s="43"/>
      <c r="AN36" s="39"/>
      <c r="AO36" s="35"/>
      <c r="AP36" s="43"/>
      <c r="AQ36" s="37"/>
      <c r="AR36" s="37"/>
      <c r="AS36" s="32"/>
      <c r="AT36" s="37"/>
      <c r="AU36" s="44"/>
      <c r="AV36" s="18"/>
      <c r="AW36" s="18" t="str">
        <f t="shared" si="0"/>
        <v/>
      </c>
      <c r="AX36" s="18" t="str">
        <f t="shared" si="1"/>
        <v/>
      </c>
      <c r="AY36" s="18" t="str">
        <f t="shared" si="7"/>
        <v/>
      </c>
      <c r="AZ36" s="18"/>
      <c r="BA36" s="18"/>
      <c r="BB36" s="18"/>
      <c r="BC36" s="18" t="str">
        <f t="shared" si="2"/>
        <v/>
      </c>
      <c r="BD36" s="18" t="str">
        <f t="shared" si="3"/>
        <v/>
      </c>
      <c r="BE36" s="18" t="str">
        <f t="shared" si="8"/>
        <v/>
      </c>
      <c r="BF36" s="18" t="str">
        <f t="shared" si="4"/>
        <v/>
      </c>
      <c r="BG36" s="18" t="str">
        <f t="shared" si="5"/>
        <v/>
      </c>
      <c r="BH36" s="18" t="str">
        <f t="shared" si="6"/>
        <v/>
      </c>
    </row>
    <row r="37" spans="1:60" ht="9" customHeight="1" thickBot="1">
      <c r="A37" s="74"/>
      <c r="B37" s="74"/>
      <c r="C37" s="18"/>
      <c r="D37" s="74"/>
      <c r="E37" s="74"/>
      <c r="F37" s="18"/>
      <c r="G37" s="18"/>
      <c r="H37" s="18"/>
      <c r="I37" s="74"/>
      <c r="J37" s="75"/>
      <c r="K37" s="74"/>
      <c r="L37" s="337"/>
      <c r="M37" s="332"/>
      <c r="N37" s="332"/>
      <c r="O37" s="74"/>
      <c r="P37" s="74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</row>
    <row r="38" spans="1:60" ht="8.25" customHeight="1">
      <c r="A38" s="74"/>
      <c r="B38" s="74"/>
      <c r="C38" s="74"/>
      <c r="D38" s="74"/>
      <c r="E38" s="74"/>
      <c r="F38" s="18"/>
      <c r="G38" s="18"/>
      <c r="H38" s="18"/>
      <c r="I38" s="74"/>
      <c r="J38" s="75"/>
      <c r="K38" s="74"/>
      <c r="L38" s="337"/>
      <c r="M38" s="332"/>
      <c r="N38" s="332"/>
      <c r="O38" s="74"/>
      <c r="P38" s="74"/>
      <c r="Q38" s="18"/>
      <c r="R38" s="111" t="s">
        <v>59</v>
      </c>
      <c r="S38" s="86">
        <f>AVERAGE(S$5:S36)</f>
        <v>0</v>
      </c>
      <c r="T38" s="86">
        <f>AVERAGE(T$5:T36)</f>
        <v>0</v>
      </c>
      <c r="U38" s="86">
        <f>AVERAGE(U$5:U36)</f>
        <v>0</v>
      </c>
      <c r="V38" s="86">
        <f>AVERAGE(V$5:V36)</f>
        <v>0</v>
      </c>
      <c r="W38" s="86">
        <f>AVERAGE(W$5:W36)</f>
        <v>0</v>
      </c>
      <c r="X38" s="86">
        <f>AVERAGE(X$5:X36)</f>
        <v>0</v>
      </c>
      <c r="Y38" s="86" t="s">
        <v>57</v>
      </c>
      <c r="Z38" s="86" t="s">
        <v>57</v>
      </c>
      <c r="AA38" s="86" t="e">
        <f>AVERAGE(AA$5:AA36)</f>
        <v>#DIV/0!</v>
      </c>
      <c r="AB38" s="86" t="e">
        <f>AVERAGE(AB$5:AB36)</f>
        <v>#DIV/0!</v>
      </c>
      <c r="AC38" s="86">
        <f>AVERAGE(AC$5:AC36)</f>
        <v>0</v>
      </c>
      <c r="AD38" s="86">
        <f>AVERAGE(AD$5:AD36)</f>
        <v>0</v>
      </c>
      <c r="AE38" s="86">
        <f>AVERAGE(AE$5:AE36)</f>
        <v>0</v>
      </c>
      <c r="AF38" s="86">
        <f>AVERAGE(AF$5:AF36)</f>
        <v>0</v>
      </c>
      <c r="AG38" s="86">
        <f>AVERAGE(AG$5:AG36)</f>
        <v>0</v>
      </c>
      <c r="AH38" s="86">
        <f>AVERAGE(AH$5:AH36)</f>
        <v>0</v>
      </c>
      <c r="AI38" s="86" t="s">
        <v>57</v>
      </c>
      <c r="AJ38" s="87" t="s">
        <v>57</v>
      </c>
      <c r="AK38" s="83" t="e">
        <f>AVERAGE(AK$5:AK36)</f>
        <v>#DIV/0!</v>
      </c>
      <c r="AL38" s="46" t="e">
        <f>AVERAGE(AL$5:AL36)</f>
        <v>#DIV/0!</v>
      </c>
      <c r="AM38" s="72"/>
      <c r="AN38" s="18"/>
      <c r="AO38" s="18"/>
      <c r="AP38" s="47" t="s">
        <v>60</v>
      </c>
      <c r="AQ38" s="45" t="s">
        <v>61</v>
      </c>
      <c r="AR38" s="45" t="s">
        <v>62</v>
      </c>
      <c r="AS38" s="46" t="s">
        <v>41</v>
      </c>
      <c r="AT38" s="18"/>
      <c r="AU38" s="18"/>
      <c r="AV38" s="18"/>
      <c r="AW38" s="76">
        <f t="shared" ref="AW38:BH38" si="9">SUM(AW5:AW36)</f>
        <v>22000</v>
      </c>
      <c r="AX38" s="76">
        <f t="shared" si="9"/>
        <v>22</v>
      </c>
      <c r="AY38" s="76">
        <f t="shared" si="9"/>
        <v>0</v>
      </c>
      <c r="AZ38" s="76">
        <f t="shared" si="9"/>
        <v>0</v>
      </c>
      <c r="BA38" s="76">
        <f t="shared" si="9"/>
        <v>0</v>
      </c>
      <c r="BB38" s="76">
        <f t="shared" si="9"/>
        <v>0</v>
      </c>
      <c r="BC38" s="76">
        <f t="shared" si="9"/>
        <v>44000</v>
      </c>
      <c r="BD38" s="76">
        <f t="shared" si="9"/>
        <v>44</v>
      </c>
      <c r="BE38" s="76">
        <f t="shared" si="9"/>
        <v>0</v>
      </c>
      <c r="BF38" s="76">
        <f t="shared" si="9"/>
        <v>0</v>
      </c>
      <c r="BG38" s="76">
        <f t="shared" si="9"/>
        <v>0</v>
      </c>
      <c r="BH38" s="76">
        <f t="shared" si="9"/>
        <v>0</v>
      </c>
    </row>
    <row r="39" spans="1:60" ht="8.25" customHeight="1">
      <c r="A39" s="74"/>
      <c r="B39" s="74"/>
      <c r="C39" s="74"/>
      <c r="D39" s="74"/>
      <c r="E39" s="74"/>
      <c r="F39" s="18"/>
      <c r="G39" s="18"/>
      <c r="H39" s="18"/>
      <c r="I39" s="74"/>
      <c r="J39" s="75"/>
      <c r="K39" s="74"/>
      <c r="L39" s="337"/>
      <c r="M39" s="332"/>
      <c r="N39" s="332"/>
      <c r="O39" s="74"/>
      <c r="P39" s="74"/>
      <c r="Q39" s="18"/>
      <c r="R39" s="112" t="s">
        <v>63</v>
      </c>
      <c r="S39" s="2">
        <f>MIN(S$5:S36)</f>
        <v>0</v>
      </c>
      <c r="T39" s="2">
        <f>MIN(T$5:T36)</f>
        <v>0</v>
      </c>
      <c r="U39" s="2">
        <f>MIN(U$5:U36)</f>
        <v>0</v>
      </c>
      <c r="V39" s="2">
        <f>MIN(V$5:V36)</f>
        <v>0</v>
      </c>
      <c r="W39" s="2">
        <f>MIN(W$5:W36)</f>
        <v>0</v>
      </c>
      <c r="X39" s="2">
        <f>MIN(X$5:X36)</f>
        <v>0</v>
      </c>
      <c r="Y39" s="2" t="s">
        <v>57</v>
      </c>
      <c r="Z39" s="2" t="s">
        <v>57</v>
      </c>
      <c r="AA39" s="2">
        <f>MIN(AA$5:AA36)</f>
        <v>0</v>
      </c>
      <c r="AB39" s="2">
        <f>MIN(AB$5:AB36)</f>
        <v>0</v>
      </c>
      <c r="AC39" s="2">
        <f>MIN(AC$5:AC36)</f>
        <v>0</v>
      </c>
      <c r="AD39" s="2">
        <f>MIN(AD$5:AD36)</f>
        <v>0</v>
      </c>
      <c r="AE39" s="2">
        <f>MIN(AE$5:AE36)</f>
        <v>0</v>
      </c>
      <c r="AF39" s="2">
        <f>MIN(AF$5:AF36)</f>
        <v>0</v>
      </c>
      <c r="AG39" s="2">
        <f>MIN(AG$5:AG36)</f>
        <v>0</v>
      </c>
      <c r="AH39" s="2">
        <f>MIN(AH$5:AH36)</f>
        <v>0</v>
      </c>
      <c r="AI39" s="2" t="s">
        <v>57</v>
      </c>
      <c r="AJ39" s="88" t="s">
        <v>57</v>
      </c>
      <c r="AK39" s="84">
        <f>MIN(AK$5:AK36)</f>
        <v>0</v>
      </c>
      <c r="AL39" s="29">
        <f>MIN(AL$5:AL36)</f>
        <v>0</v>
      </c>
      <c r="AM39" s="72"/>
      <c r="AN39" s="18"/>
      <c r="AO39" s="18"/>
      <c r="AP39" s="48" t="s">
        <v>64</v>
      </c>
      <c r="AQ39" s="2" t="s">
        <v>65</v>
      </c>
      <c r="AR39" s="2">
        <f>SUM(AN5:AN36)</f>
        <v>66</v>
      </c>
      <c r="AS39" s="29">
        <f>SUM(AM5:AM36)</f>
        <v>0</v>
      </c>
      <c r="AT39" s="18"/>
      <c r="AU39" s="18"/>
      <c r="AV39" s="18"/>
      <c r="AW39" s="77" t="s">
        <v>45</v>
      </c>
      <c r="AX39" s="77" t="s">
        <v>46</v>
      </c>
      <c r="AY39" s="77" t="s">
        <v>47</v>
      </c>
      <c r="AZ39" s="77" t="s">
        <v>48</v>
      </c>
      <c r="BA39" s="77" t="s">
        <v>49</v>
      </c>
      <c r="BB39" s="77" t="s">
        <v>50</v>
      </c>
      <c r="BC39" s="77" t="s">
        <v>51</v>
      </c>
      <c r="BD39" s="77" t="s">
        <v>52</v>
      </c>
      <c r="BE39" s="77" t="s">
        <v>53</v>
      </c>
      <c r="BF39" s="77" t="s">
        <v>54</v>
      </c>
      <c r="BG39" s="77" t="s">
        <v>55</v>
      </c>
      <c r="BH39" s="77" t="s">
        <v>56</v>
      </c>
    </row>
    <row r="40" spans="1:60" ht="8.25" customHeight="1">
      <c r="A40" s="74"/>
      <c r="B40" s="74"/>
      <c r="C40" s="74"/>
      <c r="D40" s="74"/>
      <c r="E40" s="74"/>
      <c r="F40" s="18"/>
      <c r="G40" s="18"/>
      <c r="H40" s="18"/>
      <c r="I40" s="74"/>
      <c r="J40" s="75"/>
      <c r="K40" s="74"/>
      <c r="L40" s="337"/>
      <c r="M40" s="332"/>
      <c r="N40" s="332"/>
      <c r="O40" s="74"/>
      <c r="P40" s="74"/>
      <c r="Q40" s="18"/>
      <c r="R40" s="112" t="s">
        <v>146</v>
      </c>
      <c r="S40" s="2">
        <f>MAX(S$5:S36)</f>
        <v>0</v>
      </c>
      <c r="T40" s="2">
        <f>MAX(T$5:T36)</f>
        <v>0</v>
      </c>
      <c r="U40" s="2">
        <f>MAX(U$5:U36)</f>
        <v>0</v>
      </c>
      <c r="V40" s="2">
        <f>MAX(V$5:V36)</f>
        <v>0</v>
      </c>
      <c r="W40" s="2">
        <f>MAX(W$5:W36)</f>
        <v>0</v>
      </c>
      <c r="X40" s="2">
        <f>MAX(X$5:X36)</f>
        <v>0</v>
      </c>
      <c r="Y40" s="2" t="s">
        <v>57</v>
      </c>
      <c r="Z40" s="2" t="s">
        <v>57</v>
      </c>
      <c r="AA40" s="2">
        <f>MAX(AA$5:AA36)</f>
        <v>0</v>
      </c>
      <c r="AB40" s="2">
        <f>MAX(AB$5:AB36)</f>
        <v>0</v>
      </c>
      <c r="AC40" s="2">
        <f>MAX(AC$5:AC36)</f>
        <v>0</v>
      </c>
      <c r="AD40" s="2">
        <f>MAX(AD$5:AD36)</f>
        <v>0</v>
      </c>
      <c r="AE40" s="2">
        <f>MAX(AE$5:AE36)</f>
        <v>0</v>
      </c>
      <c r="AF40" s="2">
        <f>MAX(AF$5:AF36)</f>
        <v>0</v>
      </c>
      <c r="AG40" s="2">
        <f>MAX(AG$5:AG36)</f>
        <v>0</v>
      </c>
      <c r="AH40" s="2">
        <f>MAX(AH$5:AH36)</f>
        <v>0</v>
      </c>
      <c r="AI40" s="2" t="s">
        <v>57</v>
      </c>
      <c r="AJ40" s="88" t="s">
        <v>57</v>
      </c>
      <c r="AK40" s="84">
        <f>MAX(AK$5:AK36)</f>
        <v>0</v>
      </c>
      <c r="AL40" s="29">
        <f>MAX(AL$5:AL36)</f>
        <v>0</v>
      </c>
      <c r="AM40" s="72"/>
      <c r="AN40" s="18"/>
      <c r="AO40" s="18"/>
      <c r="AP40" s="48" t="s">
        <v>46</v>
      </c>
      <c r="AQ40" s="2">
        <f>AW38</f>
        <v>22000</v>
      </c>
      <c r="AR40" s="2">
        <f>AX38</f>
        <v>22</v>
      </c>
      <c r="AS40" s="29">
        <f>AY38</f>
        <v>0</v>
      </c>
      <c r="AT40" s="18"/>
      <c r="AU40" s="18"/>
      <c r="AV40" s="18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</row>
    <row r="41" spans="1:60" ht="8.25" customHeight="1">
      <c r="A41" s="74"/>
      <c r="B41" s="74"/>
      <c r="C41" s="74"/>
      <c r="D41" s="74"/>
      <c r="E41" s="74"/>
      <c r="F41" s="18"/>
      <c r="G41" s="18"/>
      <c r="H41" s="18"/>
      <c r="I41" s="74"/>
      <c r="J41" s="75"/>
      <c r="K41" s="74"/>
      <c r="L41" s="18"/>
      <c r="M41" s="18"/>
      <c r="N41" s="18"/>
      <c r="O41" s="74"/>
      <c r="P41" s="74"/>
      <c r="Q41" s="18"/>
      <c r="R41" s="112" t="s">
        <v>66</v>
      </c>
      <c r="S41" s="2">
        <f>STDEV(S$5:S36)</f>
        <v>0</v>
      </c>
      <c r="T41" s="2">
        <f>STDEV(T$5:T36)</f>
        <v>0</v>
      </c>
      <c r="U41" s="2">
        <f>STDEV(U$5:U36)</f>
        <v>0</v>
      </c>
      <c r="V41" s="2">
        <f>STDEV(V$5:V36)</f>
        <v>0</v>
      </c>
      <c r="W41" s="2">
        <f>STDEV(W$5:W36)</f>
        <v>0</v>
      </c>
      <c r="X41" s="2">
        <f>STDEV(X$5:X36)</f>
        <v>0</v>
      </c>
      <c r="Y41" s="2" t="s">
        <v>57</v>
      </c>
      <c r="Z41" s="2" t="s">
        <v>57</v>
      </c>
      <c r="AA41" s="2" t="e">
        <f>STDEV(AA$5:AA36)</f>
        <v>#DIV/0!</v>
      </c>
      <c r="AB41" s="2" t="e">
        <f>STDEV(AB$5:AB36)</f>
        <v>#DIV/0!</v>
      </c>
      <c r="AC41" s="2">
        <f>STDEV(AC$5:AC36)</f>
        <v>0</v>
      </c>
      <c r="AD41" s="2">
        <f>STDEV(AD$5:AD36)</f>
        <v>0</v>
      </c>
      <c r="AE41" s="2">
        <f>STDEV(AE$5:AE36)</f>
        <v>0</v>
      </c>
      <c r="AF41" s="2">
        <f>STDEV(AF$5:AF36)</f>
        <v>0</v>
      </c>
      <c r="AG41" s="2">
        <f>STDEV(AG$5:AG36)</f>
        <v>0</v>
      </c>
      <c r="AH41" s="2">
        <f>STDEV(AH$5:AH36)</f>
        <v>0</v>
      </c>
      <c r="AI41" s="2" t="s">
        <v>57</v>
      </c>
      <c r="AJ41" s="88" t="s">
        <v>57</v>
      </c>
      <c r="AK41" s="84" t="e">
        <f>STDEV(AK$5:AK36)</f>
        <v>#DIV/0!</v>
      </c>
      <c r="AL41" s="29" t="e">
        <f>STDEV(AL$5:AL36)</f>
        <v>#DIV/0!</v>
      </c>
      <c r="AM41" s="72"/>
      <c r="AN41" s="18"/>
      <c r="AO41" s="18"/>
      <c r="AP41" s="48" t="s">
        <v>49</v>
      </c>
      <c r="AQ41" s="2">
        <f>AZ38</f>
        <v>0</v>
      </c>
      <c r="AR41" s="2">
        <f>BA38</f>
        <v>0</v>
      </c>
      <c r="AS41" s="29">
        <f>BB38</f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</row>
    <row r="42" spans="1:60" ht="9" customHeight="1" thickBot="1">
      <c r="A42" s="74"/>
      <c r="B42" s="74"/>
      <c r="C42" s="74"/>
      <c r="D42" s="74"/>
      <c r="E42" s="74"/>
      <c r="F42" s="18"/>
      <c r="G42" s="18"/>
      <c r="H42" s="18"/>
      <c r="I42" s="74"/>
      <c r="J42" s="75"/>
      <c r="K42" s="74"/>
      <c r="L42" s="18"/>
      <c r="M42" s="18"/>
      <c r="N42" s="18"/>
      <c r="O42" s="74"/>
      <c r="P42" s="74"/>
      <c r="Q42" s="18"/>
      <c r="R42" s="113" t="s">
        <v>67</v>
      </c>
      <c r="S42" s="89">
        <f t="shared" ref="S42:X42" si="10">IF(S38+(3*S41)&gt;100,100,S38+(3*S41))</f>
        <v>0</v>
      </c>
      <c r="T42" s="89">
        <f t="shared" si="10"/>
        <v>0</v>
      </c>
      <c r="U42" s="89">
        <f t="shared" si="10"/>
        <v>0</v>
      </c>
      <c r="V42" s="89">
        <f t="shared" si="10"/>
        <v>0</v>
      </c>
      <c r="W42" s="89">
        <f t="shared" si="10"/>
        <v>0</v>
      </c>
      <c r="X42" s="89">
        <f t="shared" si="10"/>
        <v>0</v>
      </c>
      <c r="Y42" s="89" t="s">
        <v>57</v>
      </c>
      <c r="Z42" s="89" t="s">
        <v>57</v>
      </c>
      <c r="AA42" s="89" t="e">
        <f t="shared" ref="AA42:AH42" si="11">IF(AA38+(3*AA41)&gt;100,100,AA38+(3*AA41))</f>
        <v>#DIV/0!</v>
      </c>
      <c r="AB42" s="89" t="e">
        <f t="shared" si="11"/>
        <v>#DIV/0!</v>
      </c>
      <c r="AC42" s="89">
        <f t="shared" si="11"/>
        <v>0</v>
      </c>
      <c r="AD42" s="89">
        <f t="shared" si="11"/>
        <v>0</v>
      </c>
      <c r="AE42" s="89">
        <f t="shared" si="11"/>
        <v>0</v>
      </c>
      <c r="AF42" s="89">
        <f t="shared" si="11"/>
        <v>0</v>
      </c>
      <c r="AG42" s="89">
        <f t="shared" si="11"/>
        <v>0</v>
      </c>
      <c r="AH42" s="89">
        <f t="shared" si="11"/>
        <v>0</v>
      </c>
      <c r="AI42" s="89" t="s">
        <v>57</v>
      </c>
      <c r="AJ42" s="90" t="s">
        <v>57</v>
      </c>
      <c r="AK42" s="85" t="e">
        <f>IF(AK38+(3*AK41)&gt;100,100,AK38+(3*AK41))</f>
        <v>#DIV/0!</v>
      </c>
      <c r="AL42" s="49" t="e">
        <f>IF(AL38+(3*AL41)&gt;100,100,AL38+(3*AL41))</f>
        <v>#DIV/0!</v>
      </c>
      <c r="AM42" s="72"/>
      <c r="AN42" s="18"/>
      <c r="AO42" s="18"/>
      <c r="AP42" s="48" t="s">
        <v>52</v>
      </c>
      <c r="AQ42" s="2">
        <f>BC38</f>
        <v>44000</v>
      </c>
      <c r="AR42" s="2">
        <f>BD38</f>
        <v>44</v>
      </c>
      <c r="AS42" s="29">
        <f>BE38</f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</row>
    <row r="43" spans="1:60" ht="9" customHeight="1" thickBot="1">
      <c r="A43" s="74"/>
      <c r="B43" s="74"/>
      <c r="C43" s="74"/>
      <c r="D43" s="74"/>
      <c r="E43" s="74"/>
      <c r="F43" s="18"/>
      <c r="G43" s="18"/>
      <c r="H43" s="18"/>
      <c r="I43" s="74"/>
      <c r="J43" s="75"/>
      <c r="K43" s="74"/>
      <c r="L43" s="18"/>
      <c r="M43" s="18"/>
      <c r="N43" s="18"/>
      <c r="O43" s="74"/>
      <c r="P43" s="74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72"/>
      <c r="AI43" s="18"/>
      <c r="AJ43" s="18"/>
      <c r="AK43" s="18"/>
      <c r="AL43" s="18"/>
      <c r="AM43" s="18"/>
      <c r="AN43" s="18"/>
      <c r="AO43" s="18"/>
      <c r="AP43" s="50" t="s">
        <v>58</v>
      </c>
      <c r="AQ43" s="32">
        <f>BF38</f>
        <v>0</v>
      </c>
      <c r="AR43" s="32">
        <f>BG38</f>
        <v>0</v>
      </c>
      <c r="AS43" s="49">
        <f>BH38</f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 t="str">
        <f>IF(AND($AP43="HAST",NOT(ISBLANK($AT43))),$AU43*$AR43,"")</f>
        <v/>
      </c>
      <c r="BG43" s="18" t="str">
        <f>IF(AND($AP43="HAST",NOT(ISBLANK($AT43))),$AU43,"")</f>
        <v/>
      </c>
      <c r="BH43" s="18" t="str">
        <f>IF(AND($AP43="HAST",NOT(ISBLANK($AT43))),$AT43,"")</f>
        <v/>
      </c>
    </row>
    <row r="44" spans="1:60" ht="8.25" customHeight="1">
      <c r="R44" s="18" t="s">
        <v>69</v>
      </c>
      <c r="S44" s="73"/>
      <c r="T44" s="73"/>
    </row>
    <row r="45" spans="1:60" ht="8.25" customHeight="1">
      <c r="R45" s="18"/>
      <c r="S45" s="73" t="s">
        <v>70</v>
      </c>
      <c r="T45" s="73"/>
    </row>
    <row r="46" spans="1:60" ht="8.25" customHeight="1">
      <c r="R46" s="18"/>
      <c r="S46" s="73" t="s">
        <v>71</v>
      </c>
      <c r="T46" s="73"/>
    </row>
    <row r="47" spans="1:60" ht="8.25" customHeight="1">
      <c r="R47" s="18"/>
      <c r="S47" s="73" t="s">
        <v>72</v>
      </c>
      <c r="T47" s="73"/>
    </row>
    <row r="48" spans="1:60" ht="8.25" customHeight="1">
      <c r="R48" s="18"/>
      <c r="S48" s="73" t="s">
        <v>73</v>
      </c>
      <c r="T48" s="73"/>
    </row>
    <row r="49" spans="18:19" ht="8.25" customHeight="1">
      <c r="R49" s="18"/>
      <c r="S49" s="73" t="s">
        <v>74</v>
      </c>
    </row>
  </sheetData>
  <mergeCells count="38">
    <mergeCell ref="AP3:AP4"/>
    <mergeCell ref="AU3:AU4"/>
    <mergeCell ref="L37:N37"/>
    <mergeCell ref="L38:N38"/>
    <mergeCell ref="L39:N39"/>
    <mergeCell ref="AN3:AN4"/>
    <mergeCell ref="AO3:AO4"/>
    <mergeCell ref="L40:N40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</mergeCells>
  <conditionalFormatting sqref="AT6:AT35">
    <cfRule type="cellIs" dxfId="95" priority="2" stopIfTrue="1" operator="equal">
      <formula>"ONGOING"</formula>
    </cfRule>
  </conditionalFormatting>
  <conditionalFormatting sqref="AT5">
    <cfRule type="cellIs" dxfId="8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53"/>
  <sheetViews>
    <sheetView showGridLines="0" zoomScale="140" zoomScaleNormal="140" workbookViewId="0">
      <pane xSplit="6" ySplit="4" topLeftCell="W5" activePane="bottomRight" state="frozen"/>
      <selection activeCell="L8" sqref="L8:N10"/>
      <selection pane="topRight" activeCell="L8" sqref="L8:N10"/>
      <selection pane="bottomLeft" activeCell="L8" sqref="L8:N10"/>
      <selection pane="bottomRight" activeCell="AV12" sqref="AV12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4" width="5.453125" style="109" customWidth="1"/>
    <col min="5" max="6" width="4" style="109" customWidth="1"/>
    <col min="7" max="7" width="5.26953125" style="109" customWidth="1"/>
    <col min="8" max="8" width="1.54296875" style="109" customWidth="1"/>
    <col min="9" max="9" width="5.26953125" style="109" customWidth="1"/>
    <col min="10" max="10" width="6" style="109" customWidth="1"/>
    <col min="11" max="11" width="5.7265625" style="109" customWidth="1"/>
    <col min="12" max="12" width="9.54296875" style="109" customWidth="1"/>
    <col min="13" max="13" width="4.453125" style="109" customWidth="1"/>
    <col min="14" max="14" width="4.26953125" style="109" customWidth="1"/>
    <col min="15" max="15" width="9.1796875" style="109" customWidth="1"/>
    <col min="16" max="16" width="6.81640625" style="109" customWidth="1"/>
    <col min="17" max="17" width="14.81640625" style="109" customWidth="1"/>
    <col min="18" max="18" width="11" style="109" customWidth="1"/>
    <col min="19" max="19" width="8.54296875" style="109" customWidth="1"/>
    <col min="20" max="27" width="2.7265625" style="109" customWidth="1"/>
    <col min="28" max="29" width="2.7265625" style="109" hidden="1" customWidth="1"/>
    <col min="30" max="37" width="2.7265625" style="109" customWidth="1"/>
    <col min="38" max="39" width="2.7265625" style="109" hidden="1" customWidth="1"/>
    <col min="40" max="41" width="2.7265625" style="109" customWidth="1"/>
    <col min="42" max="42" width="5.54296875" style="109" customWidth="1"/>
    <col min="43" max="43" width="5" style="109" customWidth="1"/>
    <col min="44" max="44" width="7.54296875" style="109" customWidth="1"/>
    <col min="45" max="46" width="4.54296875" style="109" customWidth="1"/>
    <col min="47" max="47" width="2.7265625" style="109" customWidth="1"/>
    <col min="48" max="48" width="9.453125" style="109" customWidth="1"/>
    <col min="49" max="49" width="3" style="109" customWidth="1"/>
    <col min="50" max="50" width="1.26953125" style="109" customWidth="1"/>
    <col min="51" max="51" width="6.54296875" style="109" customWidth="1"/>
    <col min="52" max="52" width="3.7265625" style="109" customWidth="1"/>
    <col min="53" max="53" width="5.54296875" style="109" customWidth="1"/>
    <col min="54" max="56" width="2.81640625" style="109" hidden="1" customWidth="1"/>
    <col min="57" max="57" width="6.54296875" style="109" customWidth="1"/>
    <col min="58" max="58" width="4.26953125" style="109" customWidth="1"/>
    <col min="59" max="59" width="5.7265625" style="109" customWidth="1"/>
    <col min="60" max="60" width="6.7265625" style="109" customWidth="1"/>
    <col min="61" max="61" width="4.26953125" style="109" customWidth="1"/>
    <col min="62" max="62" width="6" style="109" customWidth="1"/>
    <col min="63" max="72" width="9.1796875" style="109" customWidth="1"/>
    <col min="73" max="16384" width="14.453125" style="109"/>
  </cols>
  <sheetData>
    <row r="1" spans="1:62" ht="10.5" customHeight="1">
      <c r="A1" s="322" t="s">
        <v>0</v>
      </c>
      <c r="B1" s="353"/>
      <c r="C1" s="353"/>
      <c r="D1" s="354"/>
      <c r="E1" s="324" t="s">
        <v>1</v>
      </c>
      <c r="F1" s="298"/>
      <c r="G1" s="325" t="s">
        <v>2</v>
      </c>
      <c r="H1" s="326"/>
      <c r="I1" s="326"/>
      <c r="J1" s="326"/>
      <c r="K1" s="326"/>
      <c r="L1" s="326"/>
      <c r="M1" s="326"/>
      <c r="N1" s="326"/>
      <c r="O1" s="326"/>
      <c r="P1" s="326"/>
      <c r="Q1" s="327"/>
      <c r="R1" s="328" t="s">
        <v>3</v>
      </c>
      <c r="S1" s="331" t="s">
        <v>4</v>
      </c>
      <c r="T1" s="334" t="s">
        <v>5</v>
      </c>
      <c r="U1" s="297"/>
      <c r="V1" s="297"/>
      <c r="W1" s="297"/>
      <c r="X1" s="297"/>
      <c r="Y1" s="297"/>
      <c r="Z1" s="297"/>
      <c r="AA1" s="297"/>
      <c r="AB1" s="297"/>
      <c r="AC1" s="335"/>
      <c r="AD1" s="296" t="s">
        <v>6</v>
      </c>
      <c r="AE1" s="297"/>
      <c r="AF1" s="297"/>
      <c r="AG1" s="297"/>
      <c r="AH1" s="297"/>
      <c r="AI1" s="297"/>
      <c r="AJ1" s="297"/>
      <c r="AK1" s="297"/>
      <c r="AL1" s="297"/>
      <c r="AM1" s="298"/>
      <c r="AN1" s="302" t="s">
        <v>7</v>
      </c>
      <c r="AO1" s="297"/>
      <c r="AP1" s="303"/>
      <c r="AQ1" s="306" t="s">
        <v>8</v>
      </c>
      <c r="AR1" s="297"/>
      <c r="AS1" s="297"/>
      <c r="AT1" s="297"/>
      <c r="AU1" s="297"/>
      <c r="AV1" s="297"/>
      <c r="AW1" s="307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 spans="1:62" ht="10.5" customHeight="1">
      <c r="A2" s="355"/>
      <c r="B2" s="356"/>
      <c r="C2" s="356"/>
      <c r="D2" s="357"/>
      <c r="E2" s="304"/>
      <c r="F2" s="301"/>
      <c r="G2" s="304"/>
      <c r="H2" s="300"/>
      <c r="I2" s="300"/>
      <c r="J2" s="300"/>
      <c r="K2" s="300"/>
      <c r="L2" s="300"/>
      <c r="M2" s="300"/>
      <c r="N2" s="300"/>
      <c r="O2" s="300"/>
      <c r="P2" s="300"/>
      <c r="Q2" s="305"/>
      <c r="R2" s="329"/>
      <c r="S2" s="332"/>
      <c r="T2" s="304"/>
      <c r="U2" s="300"/>
      <c r="V2" s="300"/>
      <c r="W2" s="300"/>
      <c r="X2" s="300"/>
      <c r="Y2" s="300"/>
      <c r="Z2" s="300"/>
      <c r="AA2" s="300"/>
      <c r="AB2" s="300"/>
      <c r="AC2" s="336"/>
      <c r="AD2" s="299"/>
      <c r="AE2" s="300"/>
      <c r="AF2" s="300"/>
      <c r="AG2" s="300"/>
      <c r="AH2" s="300"/>
      <c r="AI2" s="300"/>
      <c r="AJ2" s="300"/>
      <c r="AK2" s="300"/>
      <c r="AL2" s="300"/>
      <c r="AM2" s="301"/>
      <c r="AN2" s="304"/>
      <c r="AO2" s="300"/>
      <c r="AP2" s="305"/>
      <c r="AQ2" s="300"/>
      <c r="AR2" s="300"/>
      <c r="AS2" s="300"/>
      <c r="AT2" s="300"/>
      <c r="AU2" s="300"/>
      <c r="AV2" s="300"/>
      <c r="AW2" s="308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</row>
    <row r="3" spans="1:62" ht="24.75" customHeight="1">
      <c r="A3" s="309" t="s">
        <v>9</v>
      </c>
      <c r="B3" s="311" t="s">
        <v>10</v>
      </c>
      <c r="C3" s="313" t="s">
        <v>131</v>
      </c>
      <c r="D3" s="358" t="s">
        <v>82</v>
      </c>
      <c r="E3" s="352" t="s">
        <v>11</v>
      </c>
      <c r="F3" s="317" t="s">
        <v>12</v>
      </c>
      <c r="G3" s="318" t="s">
        <v>13</v>
      </c>
      <c r="H3" s="319"/>
      <c r="I3" s="320"/>
      <c r="J3" s="321" t="s">
        <v>77</v>
      </c>
      <c r="K3" s="319"/>
      <c r="L3" s="320"/>
      <c r="M3" s="55" t="s">
        <v>18</v>
      </c>
      <c r="N3" s="342" t="s">
        <v>19</v>
      </c>
      <c r="O3" s="342" t="s">
        <v>20</v>
      </c>
      <c r="P3" s="342" t="s">
        <v>78</v>
      </c>
      <c r="Q3" s="343" t="s">
        <v>79</v>
      </c>
      <c r="R3" s="329"/>
      <c r="S3" s="332"/>
      <c r="T3" s="339" t="s">
        <v>24</v>
      </c>
      <c r="U3" s="320"/>
      <c r="V3" s="338" t="s">
        <v>25</v>
      </c>
      <c r="W3" s="320"/>
      <c r="X3" s="338" t="s">
        <v>26</v>
      </c>
      <c r="Y3" s="320"/>
      <c r="Z3" s="338" t="s">
        <v>27</v>
      </c>
      <c r="AA3" s="320"/>
      <c r="AB3" s="338" t="s">
        <v>28</v>
      </c>
      <c r="AC3" s="340"/>
      <c r="AD3" s="341" t="s">
        <v>24</v>
      </c>
      <c r="AE3" s="320"/>
      <c r="AF3" s="338" t="s">
        <v>25</v>
      </c>
      <c r="AG3" s="320"/>
      <c r="AH3" s="338" t="s">
        <v>26</v>
      </c>
      <c r="AI3" s="320"/>
      <c r="AJ3" s="338" t="s">
        <v>27</v>
      </c>
      <c r="AK3" s="320"/>
      <c r="AL3" s="338" t="s">
        <v>28</v>
      </c>
      <c r="AM3" s="320"/>
      <c r="AN3" s="19" t="s">
        <v>29</v>
      </c>
      <c r="AO3" s="349" t="s">
        <v>30</v>
      </c>
      <c r="AP3" s="350" t="s">
        <v>31</v>
      </c>
      <c r="AQ3" s="345" t="s">
        <v>32</v>
      </c>
      <c r="AR3" s="20" t="s">
        <v>33</v>
      </c>
      <c r="AS3" s="20" t="s">
        <v>34</v>
      </c>
      <c r="AT3" s="20" t="s">
        <v>35</v>
      </c>
      <c r="AU3" s="20" t="s">
        <v>29</v>
      </c>
      <c r="AV3" s="68" t="s">
        <v>83</v>
      </c>
      <c r="AW3" s="347" t="s">
        <v>30</v>
      </c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</row>
    <row r="4" spans="1:62" ht="10.5" customHeight="1">
      <c r="A4" s="310"/>
      <c r="B4" s="312"/>
      <c r="C4" s="314"/>
      <c r="D4" s="359"/>
      <c r="E4" s="346"/>
      <c r="F4" s="314"/>
      <c r="G4" s="52" t="s">
        <v>36</v>
      </c>
      <c r="H4" s="53" t="s">
        <v>37</v>
      </c>
      <c r="I4" s="54" t="s">
        <v>36</v>
      </c>
      <c r="J4" s="22" t="s">
        <v>80</v>
      </c>
      <c r="K4" s="22" t="s">
        <v>81</v>
      </c>
      <c r="L4" s="22" t="s">
        <v>17</v>
      </c>
      <c r="M4" s="23" t="s">
        <v>36</v>
      </c>
      <c r="N4" s="312"/>
      <c r="O4" s="312"/>
      <c r="P4" s="312"/>
      <c r="Q4" s="344"/>
      <c r="R4" s="330"/>
      <c r="S4" s="333"/>
      <c r="T4" s="24" t="s">
        <v>29</v>
      </c>
      <c r="U4" s="25" t="s">
        <v>40</v>
      </c>
      <c r="V4" s="21" t="s">
        <v>29</v>
      </c>
      <c r="W4" s="25" t="s">
        <v>40</v>
      </c>
      <c r="X4" s="21" t="s">
        <v>29</v>
      </c>
      <c r="Y4" s="25" t="s">
        <v>40</v>
      </c>
      <c r="Z4" s="21" t="s">
        <v>29</v>
      </c>
      <c r="AA4" s="25" t="s">
        <v>40</v>
      </c>
      <c r="AB4" s="21" t="s">
        <v>29</v>
      </c>
      <c r="AC4" s="58" t="s">
        <v>40</v>
      </c>
      <c r="AD4" s="61" t="s">
        <v>29</v>
      </c>
      <c r="AE4" s="25" t="s">
        <v>40</v>
      </c>
      <c r="AF4" s="21" t="s">
        <v>29</v>
      </c>
      <c r="AG4" s="25" t="s">
        <v>40</v>
      </c>
      <c r="AH4" s="21" t="s">
        <v>29</v>
      </c>
      <c r="AI4" s="25" t="s">
        <v>40</v>
      </c>
      <c r="AJ4" s="21" t="s">
        <v>29</v>
      </c>
      <c r="AK4" s="25" t="s">
        <v>40</v>
      </c>
      <c r="AL4" s="21" t="s">
        <v>29</v>
      </c>
      <c r="AM4" s="26" t="s">
        <v>40</v>
      </c>
      <c r="AN4" s="27" t="s">
        <v>41</v>
      </c>
      <c r="AO4" s="312"/>
      <c r="AP4" s="351"/>
      <c r="AQ4" s="346"/>
      <c r="AR4" s="28" t="s">
        <v>42</v>
      </c>
      <c r="AS4" s="28" t="s">
        <v>43</v>
      </c>
      <c r="AT4" s="28" t="s">
        <v>44</v>
      </c>
      <c r="AU4" s="28" t="s">
        <v>41</v>
      </c>
      <c r="AV4" s="22" t="s">
        <v>41</v>
      </c>
      <c r="AW4" s="348"/>
      <c r="AX4" s="71"/>
      <c r="AY4" s="73" t="s">
        <v>45</v>
      </c>
      <c r="AZ4" s="73" t="s">
        <v>46</v>
      </c>
      <c r="BA4" s="73" t="s">
        <v>47</v>
      </c>
      <c r="BB4" s="73" t="s">
        <v>48</v>
      </c>
      <c r="BC4" s="73" t="s">
        <v>49</v>
      </c>
      <c r="BD4" s="73" t="s">
        <v>50</v>
      </c>
      <c r="BE4" s="73" t="s">
        <v>51</v>
      </c>
      <c r="BF4" s="73" t="s">
        <v>52</v>
      </c>
      <c r="BG4" s="73" t="s">
        <v>53</v>
      </c>
      <c r="BH4" s="73" t="s">
        <v>54</v>
      </c>
      <c r="BI4" s="73" t="s">
        <v>55</v>
      </c>
      <c r="BJ4" s="73" t="s">
        <v>56</v>
      </c>
    </row>
    <row r="5" spans="1:62" ht="8.25" customHeight="1">
      <c r="A5" s="1" t="s">
        <v>84</v>
      </c>
      <c r="B5" s="2">
        <v>144</v>
      </c>
      <c r="C5" s="3" t="s">
        <v>218</v>
      </c>
      <c r="D5" s="65">
        <v>1</v>
      </c>
      <c r="E5" s="64">
        <v>2521</v>
      </c>
      <c r="F5" s="4" t="s">
        <v>85</v>
      </c>
      <c r="G5" s="64">
        <v>220</v>
      </c>
      <c r="H5" s="6" t="s">
        <v>147</v>
      </c>
      <c r="I5" s="110">
        <v>222</v>
      </c>
      <c r="J5" s="7" t="s">
        <v>86</v>
      </c>
      <c r="K5" s="6" t="s">
        <v>87</v>
      </c>
      <c r="L5" s="7" t="s">
        <v>108</v>
      </c>
      <c r="M5" s="126">
        <v>0.8</v>
      </c>
      <c r="N5" s="7" t="s">
        <v>89</v>
      </c>
      <c r="O5" s="7" t="s">
        <v>98</v>
      </c>
      <c r="P5" s="2" t="s">
        <v>103</v>
      </c>
      <c r="Q5" s="56" t="s">
        <v>90</v>
      </c>
      <c r="R5" s="9" t="s">
        <v>91</v>
      </c>
      <c r="S5" s="10" t="s">
        <v>190</v>
      </c>
      <c r="T5" s="11">
        <v>0</v>
      </c>
      <c r="U5" s="12">
        <v>0</v>
      </c>
      <c r="V5" s="12">
        <v>0</v>
      </c>
      <c r="W5" s="12">
        <v>0</v>
      </c>
      <c r="X5" s="12">
        <v>0</v>
      </c>
      <c r="Y5" s="2">
        <v>0</v>
      </c>
      <c r="Z5" s="2">
        <v>0</v>
      </c>
      <c r="AA5" s="2">
        <v>0</v>
      </c>
      <c r="AB5" s="2" t="s">
        <v>57</v>
      </c>
      <c r="AC5" s="59" t="s">
        <v>57</v>
      </c>
      <c r="AD5" s="6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12">
        <v>0</v>
      </c>
      <c r="AK5" s="12">
        <v>0</v>
      </c>
      <c r="AL5" s="12"/>
      <c r="AM5" s="13"/>
      <c r="AN5" s="11">
        <v>0</v>
      </c>
      <c r="AO5" s="12">
        <v>22</v>
      </c>
      <c r="AP5" s="4" t="s">
        <v>93</v>
      </c>
      <c r="AQ5" s="14" t="s">
        <v>94</v>
      </c>
      <c r="AR5" s="2" t="s">
        <v>191</v>
      </c>
      <c r="AS5" s="15">
        <v>1000</v>
      </c>
      <c r="AT5" s="16" t="s">
        <v>96</v>
      </c>
      <c r="AU5" s="15">
        <v>0</v>
      </c>
      <c r="AV5" s="66" t="s">
        <v>155</v>
      </c>
      <c r="AW5" s="17">
        <v>22</v>
      </c>
      <c r="AX5" s="18"/>
      <c r="AY5" s="18">
        <f t="shared" ref="AY5:AY40" si="0">IF(AND($AQ5="TC",NOT(ISBLANK($AU5))),$AW5*$AS5,"")</f>
        <v>22000</v>
      </c>
      <c r="AZ5" s="18">
        <f t="shared" ref="AZ5:AZ40" si="1">IF(AND($AQ5="TC",NOT(ISBLANK($AU5))),$AW5,"")</f>
        <v>22</v>
      </c>
      <c r="BA5" s="18"/>
      <c r="BB5" s="18"/>
      <c r="BC5" s="18"/>
      <c r="BD5" s="18"/>
      <c r="BE5" s="18" t="str">
        <f t="shared" ref="BE5:BE40" si="2">IF(AND($AQ5="HTS",NOT(ISBLANK($AU5))),$AW5*$AS5,"")</f>
        <v/>
      </c>
      <c r="BF5" s="18" t="str">
        <f t="shared" ref="BF5:BF40" si="3">IF(AND($AQ5="HTS",NOT(ISBLANK($AU5))),$AW5,"")</f>
        <v/>
      </c>
      <c r="BG5" s="18"/>
      <c r="BH5" s="18" t="str">
        <f t="shared" ref="BH5:BH40" si="4">IF(AND($AQ5="HAST",NOT(ISBLANK($AU5))),$AW5*$AS5,"")</f>
        <v/>
      </c>
      <c r="BI5" s="18" t="str">
        <f t="shared" ref="BI5:BI40" si="5">IF(AND($AQ5="HAST",NOT(ISBLANK($AU5))),$AW5,"")</f>
        <v/>
      </c>
      <c r="BJ5" s="18"/>
    </row>
    <row r="6" spans="1:62" ht="8.25" customHeight="1">
      <c r="A6" s="1" t="s">
        <v>84</v>
      </c>
      <c r="B6" s="2">
        <v>144</v>
      </c>
      <c r="C6" s="3" t="s">
        <v>218</v>
      </c>
      <c r="D6" s="65">
        <v>1</v>
      </c>
      <c r="E6" s="64">
        <v>2526</v>
      </c>
      <c r="F6" s="4" t="s">
        <v>85</v>
      </c>
      <c r="G6" s="64">
        <v>220</v>
      </c>
      <c r="H6" s="6" t="s">
        <v>147</v>
      </c>
      <c r="I6" s="110">
        <v>222</v>
      </c>
      <c r="J6" s="7" t="s">
        <v>86</v>
      </c>
      <c r="K6" s="6" t="s">
        <v>87</v>
      </c>
      <c r="L6" s="7" t="s">
        <v>108</v>
      </c>
      <c r="M6" s="126">
        <v>0.8</v>
      </c>
      <c r="N6" s="7" t="s">
        <v>89</v>
      </c>
      <c r="O6" s="7" t="s">
        <v>98</v>
      </c>
      <c r="P6" s="2" t="s">
        <v>103</v>
      </c>
      <c r="Q6" s="56" t="s">
        <v>90</v>
      </c>
      <c r="R6" s="9" t="s">
        <v>91</v>
      </c>
      <c r="S6" s="10" t="s">
        <v>190</v>
      </c>
      <c r="T6" s="119">
        <v>0</v>
      </c>
      <c r="U6" s="116">
        <v>0</v>
      </c>
      <c r="V6" s="116">
        <v>0</v>
      </c>
      <c r="W6" s="116">
        <v>0</v>
      </c>
      <c r="X6" s="116">
        <v>0</v>
      </c>
      <c r="Y6" s="117">
        <v>0</v>
      </c>
      <c r="Z6" s="117">
        <v>0</v>
      </c>
      <c r="AA6" s="117">
        <v>0</v>
      </c>
      <c r="AB6" s="117"/>
      <c r="AC6" s="199"/>
      <c r="AD6" s="200">
        <v>0</v>
      </c>
      <c r="AE6" s="117">
        <v>0</v>
      </c>
      <c r="AF6" s="117">
        <v>0</v>
      </c>
      <c r="AG6" s="117">
        <v>0</v>
      </c>
      <c r="AH6" s="117">
        <v>0</v>
      </c>
      <c r="AI6" s="117">
        <v>0</v>
      </c>
      <c r="AJ6" s="116">
        <v>0</v>
      </c>
      <c r="AK6" s="116">
        <v>0</v>
      </c>
      <c r="AL6" s="116"/>
      <c r="AM6" s="118"/>
      <c r="AN6" s="119">
        <v>0</v>
      </c>
      <c r="AO6" s="116">
        <v>22</v>
      </c>
      <c r="AP6" s="114" t="s">
        <v>93</v>
      </c>
      <c r="AQ6" s="120" t="s">
        <v>58</v>
      </c>
      <c r="AR6" s="117" t="s">
        <v>104</v>
      </c>
      <c r="AS6" s="201">
        <v>96</v>
      </c>
      <c r="AT6" s="202" t="s">
        <v>100</v>
      </c>
      <c r="AU6" s="201">
        <v>0</v>
      </c>
      <c r="AV6" s="205" t="s">
        <v>65</v>
      </c>
      <c r="AW6" s="203">
        <v>22</v>
      </c>
      <c r="AX6" s="18"/>
      <c r="AY6" s="18" t="str">
        <f t="shared" si="0"/>
        <v/>
      </c>
      <c r="AZ6" s="18" t="str">
        <f t="shared" si="1"/>
        <v/>
      </c>
      <c r="BA6" s="18"/>
      <c r="BB6" s="18"/>
      <c r="BC6" s="18"/>
      <c r="BD6" s="18"/>
      <c r="BE6" s="18" t="str">
        <f t="shared" si="2"/>
        <v/>
      </c>
      <c r="BF6" s="18" t="str">
        <f t="shared" si="3"/>
        <v/>
      </c>
      <c r="BG6" s="18"/>
      <c r="BH6" s="18">
        <f t="shared" si="4"/>
        <v>2112</v>
      </c>
      <c r="BI6" s="18">
        <f t="shared" si="5"/>
        <v>22</v>
      </c>
      <c r="BJ6" s="18"/>
    </row>
    <row r="7" spans="1:62" ht="8.25" customHeight="1">
      <c r="A7" s="122" t="s">
        <v>84</v>
      </c>
      <c r="B7" s="117">
        <v>144</v>
      </c>
      <c r="C7" s="125" t="s">
        <v>218</v>
      </c>
      <c r="D7" s="212">
        <v>1</v>
      </c>
      <c r="E7" s="210">
        <v>2547</v>
      </c>
      <c r="F7" s="114" t="s">
        <v>85</v>
      </c>
      <c r="G7" s="210">
        <v>220</v>
      </c>
      <c r="H7" s="175" t="s">
        <v>147</v>
      </c>
      <c r="I7" s="176">
        <v>222</v>
      </c>
      <c r="J7" s="177" t="s">
        <v>86</v>
      </c>
      <c r="K7" s="175" t="s">
        <v>87</v>
      </c>
      <c r="L7" s="177" t="s">
        <v>108</v>
      </c>
      <c r="M7" s="180">
        <v>0.8</v>
      </c>
      <c r="N7" s="177" t="s">
        <v>89</v>
      </c>
      <c r="O7" s="177" t="s">
        <v>98</v>
      </c>
      <c r="P7" s="117" t="s">
        <v>103</v>
      </c>
      <c r="Q7" s="179" t="s">
        <v>90</v>
      </c>
      <c r="R7" s="123" t="s">
        <v>91</v>
      </c>
      <c r="S7" s="124" t="s">
        <v>190</v>
      </c>
      <c r="T7" s="119" t="s">
        <v>57</v>
      </c>
      <c r="U7" s="116" t="s">
        <v>57</v>
      </c>
      <c r="V7" s="116" t="s">
        <v>57</v>
      </c>
      <c r="W7" s="116" t="s">
        <v>57</v>
      </c>
      <c r="X7" s="116" t="s">
        <v>57</v>
      </c>
      <c r="Y7" s="117" t="s">
        <v>57</v>
      </c>
      <c r="Z7" s="117" t="s">
        <v>57</v>
      </c>
      <c r="AA7" s="117" t="s">
        <v>57</v>
      </c>
      <c r="AB7" s="117" t="s">
        <v>57</v>
      </c>
      <c r="AC7" s="199" t="s">
        <v>57</v>
      </c>
      <c r="AD7" s="200" t="s">
        <v>57</v>
      </c>
      <c r="AE7" s="117" t="s">
        <v>57</v>
      </c>
      <c r="AF7" s="117" t="s">
        <v>57</v>
      </c>
      <c r="AG7" s="117" t="s">
        <v>57</v>
      </c>
      <c r="AH7" s="117" t="s">
        <v>57</v>
      </c>
      <c r="AI7" s="117" t="s">
        <v>57</v>
      </c>
      <c r="AJ7" s="116" t="s">
        <v>57</v>
      </c>
      <c r="AK7" s="116" t="s">
        <v>57</v>
      </c>
      <c r="AL7" s="116" t="s">
        <v>57</v>
      </c>
      <c r="AM7" s="118" t="s">
        <v>57</v>
      </c>
      <c r="AN7" s="119" t="s">
        <v>57</v>
      </c>
      <c r="AO7" s="116" t="s">
        <v>57</v>
      </c>
      <c r="AP7" s="114" t="s">
        <v>155</v>
      </c>
      <c r="AQ7" s="120"/>
      <c r="AR7" s="117"/>
      <c r="AS7" s="201"/>
      <c r="AT7" s="202"/>
      <c r="AU7" s="201"/>
      <c r="AV7" s="205"/>
      <c r="AW7" s="203"/>
      <c r="AX7" s="18"/>
      <c r="AY7" s="18" t="str">
        <f t="shared" si="0"/>
        <v/>
      </c>
      <c r="AZ7" s="18" t="str">
        <f t="shared" si="1"/>
        <v/>
      </c>
      <c r="BA7" s="18"/>
      <c r="BB7" s="18"/>
      <c r="BC7" s="18"/>
      <c r="BD7" s="18"/>
      <c r="BE7" s="18" t="str">
        <f t="shared" si="2"/>
        <v/>
      </c>
      <c r="BF7" s="18" t="str">
        <f t="shared" si="3"/>
        <v/>
      </c>
      <c r="BG7" s="18"/>
      <c r="BH7" s="18" t="str">
        <f t="shared" si="4"/>
        <v/>
      </c>
      <c r="BI7" s="18" t="str">
        <f t="shared" si="5"/>
        <v/>
      </c>
      <c r="BJ7" s="18"/>
    </row>
    <row r="8" spans="1:62" ht="8.25" customHeight="1">
      <c r="A8" s="1"/>
      <c r="B8" s="2"/>
      <c r="C8" s="3"/>
      <c r="D8" s="65"/>
      <c r="E8" s="64"/>
      <c r="F8" s="4"/>
      <c r="G8" s="5"/>
      <c r="H8" s="6"/>
      <c r="I8" s="7"/>
      <c r="J8" s="7"/>
      <c r="K8" s="6"/>
      <c r="L8" s="7"/>
      <c r="M8" s="69"/>
      <c r="N8" s="7"/>
      <c r="O8" s="7"/>
      <c r="P8" s="2"/>
      <c r="Q8" s="56"/>
      <c r="R8" s="9"/>
      <c r="S8" s="10"/>
      <c r="T8" s="11"/>
      <c r="U8" s="12"/>
      <c r="V8" s="12"/>
      <c r="W8" s="12"/>
      <c r="X8" s="12"/>
      <c r="Y8" s="2"/>
      <c r="Z8" s="2"/>
      <c r="AA8" s="2"/>
      <c r="AB8" s="2"/>
      <c r="AC8" s="59"/>
      <c r="AD8" s="62"/>
      <c r="AE8" s="2"/>
      <c r="AF8" s="2"/>
      <c r="AG8" s="2"/>
      <c r="AH8" s="2"/>
      <c r="AI8" s="2"/>
      <c r="AJ8" s="12"/>
      <c r="AK8" s="12"/>
      <c r="AL8" s="12"/>
      <c r="AM8" s="13"/>
      <c r="AN8" s="11"/>
      <c r="AO8" s="12"/>
      <c r="AP8" s="4"/>
      <c r="AQ8" s="14"/>
      <c r="AR8" s="2"/>
      <c r="AS8" s="15"/>
      <c r="AT8" s="16"/>
      <c r="AU8" s="15"/>
      <c r="AV8" s="66"/>
      <c r="AW8" s="17"/>
      <c r="AX8" s="18"/>
      <c r="AY8" s="18" t="str">
        <f t="shared" si="0"/>
        <v/>
      </c>
      <c r="AZ8" s="18" t="str">
        <f t="shared" si="1"/>
        <v/>
      </c>
      <c r="BA8" s="18"/>
      <c r="BB8" s="18"/>
      <c r="BC8" s="18"/>
      <c r="BD8" s="18"/>
      <c r="BE8" s="18" t="str">
        <f t="shared" si="2"/>
        <v/>
      </c>
      <c r="BF8" s="18" t="str">
        <f t="shared" si="3"/>
        <v/>
      </c>
      <c r="BG8" s="18"/>
      <c r="BH8" s="18" t="str">
        <f t="shared" si="4"/>
        <v/>
      </c>
      <c r="BI8" s="18" t="str">
        <f t="shared" si="5"/>
        <v/>
      </c>
      <c r="BJ8" s="18"/>
    </row>
    <row r="9" spans="1:62" ht="8.25" customHeight="1">
      <c r="A9" s="1" t="s">
        <v>84</v>
      </c>
      <c r="B9" s="2">
        <v>196</v>
      </c>
      <c r="C9" s="3" t="s">
        <v>183</v>
      </c>
      <c r="D9" s="247">
        <v>1</v>
      </c>
      <c r="E9" s="64">
        <v>2508</v>
      </c>
      <c r="F9" s="4" t="s">
        <v>85</v>
      </c>
      <c r="G9" s="64">
        <v>171</v>
      </c>
      <c r="H9" s="6" t="s">
        <v>147</v>
      </c>
      <c r="I9" s="110">
        <v>288</v>
      </c>
      <c r="J9" s="7" t="s">
        <v>86</v>
      </c>
      <c r="K9" s="6" t="s">
        <v>87</v>
      </c>
      <c r="L9" s="7" t="s">
        <v>88</v>
      </c>
      <c r="M9" s="126">
        <v>1</v>
      </c>
      <c r="N9" s="7" t="s">
        <v>89</v>
      </c>
      <c r="O9" s="7" t="s">
        <v>98</v>
      </c>
      <c r="P9" s="2">
        <v>2300</v>
      </c>
      <c r="Q9" s="56" t="s">
        <v>112</v>
      </c>
      <c r="R9" s="9" t="s">
        <v>91</v>
      </c>
      <c r="S9" s="10" t="s">
        <v>107</v>
      </c>
      <c r="T9" s="11">
        <v>0</v>
      </c>
      <c r="U9" s="12">
        <v>0</v>
      </c>
      <c r="V9" s="12">
        <v>0</v>
      </c>
      <c r="W9" s="12">
        <v>0</v>
      </c>
      <c r="X9" s="12">
        <v>0</v>
      </c>
      <c r="Y9" s="2">
        <v>0</v>
      </c>
      <c r="Z9" s="2">
        <v>0</v>
      </c>
      <c r="AA9" s="2">
        <v>0</v>
      </c>
      <c r="AB9" s="2" t="s">
        <v>57</v>
      </c>
      <c r="AC9" s="59" t="s">
        <v>57</v>
      </c>
      <c r="AD9" s="6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12">
        <v>0</v>
      </c>
      <c r="AK9" s="12">
        <v>0</v>
      </c>
      <c r="AL9" s="12"/>
      <c r="AM9" s="13"/>
      <c r="AN9" s="11">
        <v>0</v>
      </c>
      <c r="AO9" s="12">
        <v>22</v>
      </c>
      <c r="AP9" s="4" t="s">
        <v>93</v>
      </c>
      <c r="AQ9" s="14" t="s">
        <v>94</v>
      </c>
      <c r="AR9" s="248" t="s">
        <v>191</v>
      </c>
      <c r="AS9" s="15">
        <v>1000</v>
      </c>
      <c r="AT9" s="16" t="s">
        <v>96</v>
      </c>
      <c r="AU9" s="15">
        <v>0</v>
      </c>
      <c r="AV9" s="66" t="s">
        <v>155</v>
      </c>
      <c r="AW9" s="17">
        <v>22</v>
      </c>
      <c r="AX9" s="18"/>
      <c r="AY9" s="18">
        <f t="shared" si="0"/>
        <v>22000</v>
      </c>
      <c r="AZ9" s="18">
        <f t="shared" si="1"/>
        <v>22</v>
      </c>
      <c r="BA9" s="18"/>
      <c r="BB9" s="18"/>
      <c r="BC9" s="18"/>
      <c r="BD9" s="18"/>
      <c r="BE9" s="18" t="str">
        <f t="shared" si="2"/>
        <v/>
      </c>
      <c r="BF9" s="18" t="str">
        <f t="shared" si="3"/>
        <v/>
      </c>
      <c r="BG9" s="18"/>
      <c r="BH9" s="18" t="str">
        <f t="shared" si="4"/>
        <v/>
      </c>
      <c r="BI9" s="18" t="str">
        <f t="shared" si="5"/>
        <v/>
      </c>
      <c r="BJ9" s="18"/>
    </row>
    <row r="10" spans="1:62" ht="8.25" customHeight="1">
      <c r="A10" s="1" t="s">
        <v>84</v>
      </c>
      <c r="B10" s="2">
        <v>196</v>
      </c>
      <c r="C10" s="3" t="s">
        <v>183</v>
      </c>
      <c r="D10" s="247">
        <v>1</v>
      </c>
      <c r="E10" s="64">
        <v>2517</v>
      </c>
      <c r="F10" s="4" t="s">
        <v>85</v>
      </c>
      <c r="G10" s="64">
        <v>171</v>
      </c>
      <c r="H10" s="6" t="s">
        <v>147</v>
      </c>
      <c r="I10" s="110">
        <v>288</v>
      </c>
      <c r="J10" s="7" t="s">
        <v>86</v>
      </c>
      <c r="K10" s="6" t="s">
        <v>87</v>
      </c>
      <c r="L10" s="7" t="s">
        <v>88</v>
      </c>
      <c r="M10" s="126">
        <v>1</v>
      </c>
      <c r="N10" s="7" t="s">
        <v>89</v>
      </c>
      <c r="O10" s="7" t="s">
        <v>178</v>
      </c>
      <c r="P10" s="2">
        <v>2300</v>
      </c>
      <c r="Q10" s="56" t="s">
        <v>109</v>
      </c>
      <c r="R10" s="9" t="s">
        <v>91</v>
      </c>
      <c r="S10" s="10" t="s">
        <v>192</v>
      </c>
      <c r="T10" s="11">
        <v>0</v>
      </c>
      <c r="U10" s="12">
        <v>0</v>
      </c>
      <c r="V10" s="12">
        <v>0</v>
      </c>
      <c r="W10" s="12">
        <v>0</v>
      </c>
      <c r="X10" s="12">
        <v>0</v>
      </c>
      <c r="Y10" s="2">
        <v>0</v>
      </c>
      <c r="Z10" s="2">
        <v>0</v>
      </c>
      <c r="AA10" s="2">
        <v>0</v>
      </c>
      <c r="AB10" s="2" t="s">
        <v>57</v>
      </c>
      <c r="AC10" s="59" t="s">
        <v>57</v>
      </c>
      <c r="AD10" s="6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12">
        <v>0</v>
      </c>
      <c r="AK10" s="12">
        <v>0</v>
      </c>
      <c r="AL10" s="12"/>
      <c r="AM10" s="13"/>
      <c r="AN10" s="11">
        <v>0</v>
      </c>
      <c r="AO10" s="12">
        <v>22</v>
      </c>
      <c r="AP10" s="4" t="s">
        <v>93</v>
      </c>
      <c r="AQ10" s="14" t="s">
        <v>52</v>
      </c>
      <c r="AR10" s="2" t="s">
        <v>99</v>
      </c>
      <c r="AS10" s="15">
        <v>1000</v>
      </c>
      <c r="AT10" s="16" t="s">
        <v>100</v>
      </c>
      <c r="AU10" s="15">
        <v>0</v>
      </c>
      <c r="AV10" s="66" t="s">
        <v>65</v>
      </c>
      <c r="AW10" s="17">
        <v>22</v>
      </c>
      <c r="AX10" s="18"/>
      <c r="AY10" s="18" t="str">
        <f t="shared" si="0"/>
        <v/>
      </c>
      <c r="AZ10" s="18" t="str">
        <f t="shared" si="1"/>
        <v/>
      </c>
      <c r="BA10" s="18"/>
      <c r="BB10" s="18"/>
      <c r="BC10" s="18"/>
      <c r="BD10" s="18"/>
      <c r="BE10" s="18">
        <f t="shared" si="2"/>
        <v>22000</v>
      </c>
      <c r="BF10" s="18">
        <f t="shared" si="3"/>
        <v>22</v>
      </c>
      <c r="BG10" s="18"/>
      <c r="BH10" s="18" t="str">
        <f t="shared" si="4"/>
        <v/>
      </c>
      <c r="BI10" s="18" t="str">
        <f t="shared" si="5"/>
        <v/>
      </c>
      <c r="BJ10" s="18"/>
    </row>
    <row r="11" spans="1:62" ht="8.25" customHeight="1">
      <c r="A11" s="1" t="s">
        <v>84</v>
      </c>
      <c r="B11" s="2">
        <v>196</v>
      </c>
      <c r="C11" s="3" t="s">
        <v>183</v>
      </c>
      <c r="D11" s="65">
        <v>1</v>
      </c>
      <c r="E11" s="64">
        <v>2534</v>
      </c>
      <c r="F11" s="4" t="s">
        <v>85</v>
      </c>
      <c r="G11" s="64">
        <v>171</v>
      </c>
      <c r="H11" s="6" t="s">
        <v>147</v>
      </c>
      <c r="I11" s="110">
        <v>288</v>
      </c>
      <c r="J11" s="7" t="s">
        <v>86</v>
      </c>
      <c r="K11" s="6" t="s">
        <v>87</v>
      </c>
      <c r="L11" s="7" t="s">
        <v>88</v>
      </c>
      <c r="M11" s="126">
        <v>1</v>
      </c>
      <c r="N11" s="7" t="s">
        <v>89</v>
      </c>
      <c r="O11" s="7" t="s">
        <v>98</v>
      </c>
      <c r="P11" s="12">
        <v>2300</v>
      </c>
      <c r="Q11" s="56" t="s">
        <v>112</v>
      </c>
      <c r="R11" s="9" t="s">
        <v>91</v>
      </c>
      <c r="S11" s="10" t="s">
        <v>190</v>
      </c>
      <c r="T11" s="119">
        <v>0</v>
      </c>
      <c r="U11" s="116">
        <v>0</v>
      </c>
      <c r="V11" s="116">
        <v>0</v>
      </c>
      <c r="W11" s="116">
        <v>0</v>
      </c>
      <c r="X11" s="116">
        <v>0</v>
      </c>
      <c r="Y11" s="117">
        <v>0</v>
      </c>
      <c r="Z11" s="117">
        <v>0</v>
      </c>
      <c r="AA11" s="117">
        <v>0</v>
      </c>
      <c r="AB11" s="117"/>
      <c r="AC11" s="199"/>
      <c r="AD11" s="200">
        <v>0</v>
      </c>
      <c r="AE11" s="117">
        <v>0</v>
      </c>
      <c r="AF11" s="117">
        <v>0</v>
      </c>
      <c r="AG11" s="117">
        <v>0</v>
      </c>
      <c r="AH11" s="117">
        <v>0</v>
      </c>
      <c r="AI11" s="117">
        <v>0</v>
      </c>
      <c r="AJ11" s="116">
        <v>0</v>
      </c>
      <c r="AK11" s="116">
        <v>0</v>
      </c>
      <c r="AL11" s="116"/>
      <c r="AM11" s="118"/>
      <c r="AN11" s="119">
        <v>0</v>
      </c>
      <c r="AO11" s="116">
        <v>22</v>
      </c>
      <c r="AP11" s="114" t="s">
        <v>93</v>
      </c>
      <c r="AQ11" s="120" t="s">
        <v>94</v>
      </c>
      <c r="AR11" s="117" t="s">
        <v>228</v>
      </c>
      <c r="AS11" s="201">
        <v>1000</v>
      </c>
      <c r="AT11" s="202" t="s">
        <v>96</v>
      </c>
      <c r="AU11" s="201">
        <v>0</v>
      </c>
      <c r="AV11" s="205" t="s">
        <v>155</v>
      </c>
      <c r="AW11" s="203">
        <v>22</v>
      </c>
      <c r="AX11" s="18"/>
      <c r="AY11" s="18">
        <f t="shared" si="0"/>
        <v>22000</v>
      </c>
      <c r="AZ11" s="18">
        <f t="shared" si="1"/>
        <v>22</v>
      </c>
      <c r="BA11" s="18"/>
      <c r="BB11" s="18"/>
      <c r="BC11" s="18"/>
      <c r="BD11" s="18"/>
      <c r="BE11" s="18" t="str">
        <f t="shared" si="2"/>
        <v/>
      </c>
      <c r="BF11" s="18" t="str">
        <f t="shared" si="3"/>
        <v/>
      </c>
      <c r="BG11" s="18"/>
      <c r="BH11" s="18" t="str">
        <f t="shared" si="4"/>
        <v/>
      </c>
      <c r="BI11" s="18" t="str">
        <f t="shared" si="5"/>
        <v/>
      </c>
      <c r="BJ11" s="18"/>
    </row>
    <row r="12" spans="1:62" ht="8.25" customHeight="1">
      <c r="A12" s="1"/>
      <c r="B12" s="2"/>
      <c r="C12" s="3"/>
      <c r="D12" s="65"/>
      <c r="E12" s="64"/>
      <c r="F12" s="4"/>
      <c r="G12" s="5"/>
      <c r="H12" s="6"/>
      <c r="I12" s="7"/>
      <c r="J12" s="7"/>
      <c r="K12" s="6"/>
      <c r="L12" s="7"/>
      <c r="M12" s="95"/>
      <c r="N12" s="127"/>
      <c r="O12" s="7"/>
      <c r="P12" s="2"/>
      <c r="Q12" s="56"/>
      <c r="R12" s="9"/>
      <c r="S12" s="10"/>
      <c r="T12" s="11"/>
      <c r="U12" s="12"/>
      <c r="V12" s="12"/>
      <c r="W12" s="12"/>
      <c r="X12" s="12"/>
      <c r="Y12" s="2"/>
      <c r="Z12" s="2"/>
      <c r="AA12" s="2"/>
      <c r="AB12" s="2"/>
      <c r="AC12" s="59"/>
      <c r="AD12" s="62"/>
      <c r="AE12" s="2"/>
      <c r="AF12" s="2"/>
      <c r="AG12" s="2"/>
      <c r="AH12" s="2"/>
      <c r="AI12" s="2"/>
      <c r="AJ12" s="12"/>
      <c r="AK12" s="12"/>
      <c r="AL12" s="12"/>
      <c r="AM12" s="13"/>
      <c r="AN12" s="11"/>
      <c r="AO12" s="12"/>
      <c r="AP12" s="4"/>
      <c r="AQ12" s="14"/>
      <c r="AR12" s="2"/>
      <c r="AS12" s="15"/>
      <c r="AT12" s="16"/>
      <c r="AU12" s="15"/>
      <c r="AV12" s="66"/>
      <c r="AW12" s="17"/>
      <c r="AX12" s="18"/>
      <c r="AY12" s="18" t="str">
        <f t="shared" si="0"/>
        <v/>
      </c>
      <c r="AZ12" s="18" t="str">
        <f t="shared" si="1"/>
        <v/>
      </c>
      <c r="BA12" s="18"/>
      <c r="BB12" s="18"/>
      <c r="BC12" s="18"/>
      <c r="BD12" s="18"/>
      <c r="BE12" s="18" t="str">
        <f t="shared" si="2"/>
        <v/>
      </c>
      <c r="BF12" s="18" t="str">
        <f t="shared" si="3"/>
        <v/>
      </c>
      <c r="BG12" s="18"/>
      <c r="BH12" s="18" t="str">
        <f t="shared" si="4"/>
        <v/>
      </c>
      <c r="BI12" s="18" t="str">
        <f t="shared" si="5"/>
        <v/>
      </c>
      <c r="BJ12" s="18"/>
    </row>
    <row r="13" spans="1:62" ht="8.25" customHeight="1">
      <c r="A13" s="1"/>
      <c r="B13" s="2"/>
      <c r="C13" s="3"/>
      <c r="D13" s="65"/>
      <c r="E13" s="64"/>
      <c r="F13" s="4"/>
      <c r="G13" s="5"/>
      <c r="H13" s="6"/>
      <c r="I13" s="7"/>
      <c r="J13" s="7"/>
      <c r="K13" s="6"/>
      <c r="L13" s="7"/>
      <c r="M13" s="95"/>
      <c r="N13" s="127"/>
      <c r="O13" s="7"/>
      <c r="P13" s="2"/>
      <c r="Q13" s="56"/>
      <c r="R13" s="9"/>
      <c r="S13" s="10"/>
      <c r="T13" s="11"/>
      <c r="U13" s="12"/>
      <c r="V13" s="12"/>
      <c r="W13" s="12"/>
      <c r="X13" s="12"/>
      <c r="Y13" s="2"/>
      <c r="Z13" s="2"/>
      <c r="AA13" s="2"/>
      <c r="AB13" s="2"/>
      <c r="AC13" s="59"/>
      <c r="AD13" s="62"/>
      <c r="AE13" s="2"/>
      <c r="AF13" s="2"/>
      <c r="AG13" s="2"/>
      <c r="AH13" s="2"/>
      <c r="AI13" s="2"/>
      <c r="AJ13" s="12"/>
      <c r="AK13" s="12"/>
      <c r="AL13" s="12"/>
      <c r="AM13" s="13"/>
      <c r="AN13" s="11"/>
      <c r="AO13" s="12"/>
      <c r="AP13" s="4"/>
      <c r="AQ13" s="14"/>
      <c r="AR13" s="2"/>
      <c r="AS13" s="15"/>
      <c r="AT13" s="16"/>
      <c r="AU13" s="15"/>
      <c r="AV13" s="66"/>
      <c r="AW13" s="17"/>
      <c r="AX13" s="18"/>
      <c r="AY13" s="18" t="str">
        <f t="shared" si="0"/>
        <v/>
      </c>
      <c r="AZ13" s="18" t="str">
        <f t="shared" si="1"/>
        <v/>
      </c>
      <c r="BA13" s="18"/>
      <c r="BB13" s="18"/>
      <c r="BC13" s="18"/>
      <c r="BD13" s="18"/>
      <c r="BE13" s="18" t="str">
        <f t="shared" si="2"/>
        <v/>
      </c>
      <c r="BF13" s="18" t="str">
        <f t="shared" si="3"/>
        <v/>
      </c>
      <c r="BG13" s="18"/>
      <c r="BH13" s="18" t="str">
        <f t="shared" si="4"/>
        <v/>
      </c>
      <c r="BI13" s="18" t="str">
        <f t="shared" si="5"/>
        <v/>
      </c>
      <c r="BJ13" s="18"/>
    </row>
    <row r="14" spans="1:62" ht="8.25" customHeight="1">
      <c r="A14" s="1"/>
      <c r="B14" s="2"/>
      <c r="C14" s="3"/>
      <c r="D14" s="65"/>
      <c r="E14" s="64"/>
      <c r="F14" s="4"/>
      <c r="G14" s="5"/>
      <c r="H14" s="6"/>
      <c r="I14" s="7"/>
      <c r="J14" s="7"/>
      <c r="K14" s="6"/>
      <c r="L14" s="7"/>
      <c r="M14" s="95"/>
      <c r="N14" s="127"/>
      <c r="O14" s="7"/>
      <c r="P14" s="2"/>
      <c r="Q14" s="56"/>
      <c r="R14" s="9"/>
      <c r="S14" s="10"/>
      <c r="T14" s="11"/>
      <c r="U14" s="12"/>
      <c r="V14" s="12"/>
      <c r="W14" s="12"/>
      <c r="X14" s="12"/>
      <c r="Y14" s="2"/>
      <c r="Z14" s="2"/>
      <c r="AA14" s="2"/>
      <c r="AB14" s="2"/>
      <c r="AC14" s="59"/>
      <c r="AD14" s="62"/>
      <c r="AE14" s="2"/>
      <c r="AF14" s="2"/>
      <c r="AG14" s="2"/>
      <c r="AH14" s="2"/>
      <c r="AI14" s="2"/>
      <c r="AJ14" s="12"/>
      <c r="AK14" s="12"/>
      <c r="AL14" s="12"/>
      <c r="AM14" s="13"/>
      <c r="AN14" s="11"/>
      <c r="AO14" s="12"/>
      <c r="AP14" s="4"/>
      <c r="AQ14" s="14"/>
      <c r="AR14" s="2"/>
      <c r="AS14" s="15"/>
      <c r="AT14" s="16"/>
      <c r="AU14" s="15"/>
      <c r="AV14" s="66"/>
      <c r="AW14" s="17"/>
      <c r="AX14" s="18"/>
      <c r="AY14" s="18" t="str">
        <f t="shared" si="0"/>
        <v/>
      </c>
      <c r="AZ14" s="18" t="str">
        <f t="shared" si="1"/>
        <v/>
      </c>
      <c r="BA14" s="18"/>
      <c r="BB14" s="18"/>
      <c r="BC14" s="18"/>
      <c r="BD14" s="18"/>
      <c r="BE14" s="18" t="str">
        <f t="shared" si="2"/>
        <v/>
      </c>
      <c r="BF14" s="18" t="str">
        <f t="shared" si="3"/>
        <v/>
      </c>
      <c r="BG14" s="18"/>
      <c r="BH14" s="18" t="str">
        <f t="shared" si="4"/>
        <v/>
      </c>
      <c r="BI14" s="18" t="str">
        <f t="shared" si="5"/>
        <v/>
      </c>
      <c r="BJ14" s="18"/>
    </row>
    <row r="15" spans="1:62" ht="8.25" customHeight="1">
      <c r="A15" s="1"/>
      <c r="B15" s="2"/>
      <c r="C15" s="3"/>
      <c r="D15" s="65"/>
      <c r="E15" s="64"/>
      <c r="F15" s="4"/>
      <c r="G15" s="5"/>
      <c r="H15" s="6"/>
      <c r="I15" s="7"/>
      <c r="J15" s="7"/>
      <c r="K15" s="6"/>
      <c r="L15" s="7"/>
      <c r="M15" s="95"/>
      <c r="N15" s="127"/>
      <c r="O15" s="7"/>
      <c r="P15" s="2"/>
      <c r="Q15" s="56"/>
      <c r="R15" s="9"/>
      <c r="S15" s="10"/>
      <c r="T15" s="11"/>
      <c r="U15" s="12"/>
      <c r="V15" s="12"/>
      <c r="W15" s="12"/>
      <c r="X15" s="12"/>
      <c r="Y15" s="2"/>
      <c r="Z15" s="2"/>
      <c r="AA15" s="2"/>
      <c r="AB15" s="2"/>
      <c r="AC15" s="59"/>
      <c r="AD15" s="62"/>
      <c r="AE15" s="2"/>
      <c r="AF15" s="2"/>
      <c r="AG15" s="2"/>
      <c r="AH15" s="2"/>
      <c r="AI15" s="2"/>
      <c r="AJ15" s="12"/>
      <c r="AK15" s="12"/>
      <c r="AL15" s="12"/>
      <c r="AM15" s="13"/>
      <c r="AN15" s="11"/>
      <c r="AO15" s="12"/>
      <c r="AP15" s="4"/>
      <c r="AQ15" s="14"/>
      <c r="AR15" s="2"/>
      <c r="AS15" s="15"/>
      <c r="AT15" s="16"/>
      <c r="AU15" s="15"/>
      <c r="AV15" s="66"/>
      <c r="AW15" s="17"/>
      <c r="AX15" s="18"/>
      <c r="AY15" s="18" t="str">
        <f t="shared" si="0"/>
        <v/>
      </c>
      <c r="AZ15" s="18" t="str">
        <f t="shared" si="1"/>
        <v/>
      </c>
      <c r="BA15" s="18"/>
      <c r="BB15" s="18"/>
      <c r="BC15" s="18"/>
      <c r="BD15" s="18"/>
      <c r="BE15" s="18" t="str">
        <f t="shared" si="2"/>
        <v/>
      </c>
      <c r="BF15" s="18" t="str">
        <f t="shared" si="3"/>
        <v/>
      </c>
      <c r="BG15" s="18"/>
      <c r="BH15" s="18" t="str">
        <f t="shared" si="4"/>
        <v/>
      </c>
      <c r="BI15" s="18" t="str">
        <f t="shared" si="5"/>
        <v/>
      </c>
      <c r="BJ15" s="18"/>
    </row>
    <row r="16" spans="1:62" ht="8.25" customHeight="1">
      <c r="A16" s="1"/>
      <c r="B16" s="2"/>
      <c r="C16" s="3"/>
      <c r="D16" s="65"/>
      <c r="E16" s="64"/>
      <c r="F16" s="4"/>
      <c r="G16" s="5"/>
      <c r="H16" s="6"/>
      <c r="I16" s="7"/>
      <c r="J16" s="7"/>
      <c r="K16" s="6"/>
      <c r="L16" s="7"/>
      <c r="M16" s="95"/>
      <c r="N16" s="127"/>
      <c r="O16" s="7"/>
      <c r="P16" s="2"/>
      <c r="Q16" s="56"/>
      <c r="R16" s="9"/>
      <c r="S16" s="10"/>
      <c r="T16" s="11"/>
      <c r="U16" s="12"/>
      <c r="V16" s="12"/>
      <c r="W16" s="12"/>
      <c r="X16" s="12"/>
      <c r="Y16" s="2"/>
      <c r="Z16" s="2"/>
      <c r="AA16" s="2"/>
      <c r="AB16" s="2"/>
      <c r="AC16" s="59"/>
      <c r="AD16" s="62"/>
      <c r="AE16" s="2"/>
      <c r="AF16" s="2"/>
      <c r="AG16" s="2"/>
      <c r="AH16" s="2"/>
      <c r="AI16" s="2"/>
      <c r="AJ16" s="12"/>
      <c r="AK16" s="12"/>
      <c r="AL16" s="12"/>
      <c r="AM16" s="13"/>
      <c r="AN16" s="11"/>
      <c r="AO16" s="12"/>
      <c r="AP16" s="4"/>
      <c r="AQ16" s="14"/>
      <c r="AR16" s="2"/>
      <c r="AS16" s="15"/>
      <c r="AT16" s="16"/>
      <c r="AU16" s="15"/>
      <c r="AV16" s="66"/>
      <c r="AW16" s="17"/>
      <c r="AX16" s="18"/>
      <c r="AY16" s="18" t="str">
        <f t="shared" si="0"/>
        <v/>
      </c>
      <c r="AZ16" s="18" t="str">
        <f t="shared" si="1"/>
        <v/>
      </c>
      <c r="BA16" s="18"/>
      <c r="BB16" s="18"/>
      <c r="BC16" s="18"/>
      <c r="BD16" s="18"/>
      <c r="BE16" s="18" t="str">
        <f t="shared" si="2"/>
        <v/>
      </c>
      <c r="BF16" s="18" t="str">
        <f t="shared" si="3"/>
        <v/>
      </c>
      <c r="BG16" s="18"/>
      <c r="BH16" s="18" t="str">
        <f t="shared" si="4"/>
        <v/>
      </c>
      <c r="BI16" s="18" t="str">
        <f t="shared" si="5"/>
        <v/>
      </c>
      <c r="BJ16" s="18"/>
    </row>
    <row r="17" spans="1:62" ht="8.25" customHeight="1">
      <c r="A17" s="1"/>
      <c r="B17" s="2"/>
      <c r="C17" s="3"/>
      <c r="D17" s="65"/>
      <c r="E17" s="64"/>
      <c r="F17" s="4"/>
      <c r="G17" s="5"/>
      <c r="H17" s="6"/>
      <c r="I17" s="7"/>
      <c r="J17" s="7"/>
      <c r="K17" s="6"/>
      <c r="L17" s="7"/>
      <c r="M17" s="95"/>
      <c r="N17" s="127"/>
      <c r="O17" s="7"/>
      <c r="P17" s="2"/>
      <c r="Q17" s="56"/>
      <c r="R17" s="9"/>
      <c r="S17" s="10"/>
      <c r="T17" s="11"/>
      <c r="U17" s="12"/>
      <c r="V17" s="12"/>
      <c r="W17" s="12"/>
      <c r="X17" s="12"/>
      <c r="Y17" s="2"/>
      <c r="Z17" s="2"/>
      <c r="AA17" s="2"/>
      <c r="AB17" s="2"/>
      <c r="AC17" s="59"/>
      <c r="AD17" s="62"/>
      <c r="AE17" s="2"/>
      <c r="AF17" s="2"/>
      <c r="AG17" s="2"/>
      <c r="AH17" s="2"/>
      <c r="AI17" s="2"/>
      <c r="AJ17" s="12"/>
      <c r="AK17" s="12"/>
      <c r="AL17" s="12"/>
      <c r="AM17" s="13"/>
      <c r="AN17" s="11"/>
      <c r="AO17" s="12"/>
      <c r="AP17" s="4"/>
      <c r="AQ17" s="14"/>
      <c r="AR17" s="2"/>
      <c r="AS17" s="15"/>
      <c r="AT17" s="16"/>
      <c r="AU17" s="15"/>
      <c r="AV17" s="66"/>
      <c r="AW17" s="17"/>
      <c r="AX17" s="18"/>
      <c r="AY17" s="18" t="str">
        <f t="shared" si="0"/>
        <v/>
      </c>
      <c r="AZ17" s="18" t="str">
        <f t="shared" si="1"/>
        <v/>
      </c>
      <c r="BA17" s="18"/>
      <c r="BB17" s="18"/>
      <c r="BC17" s="18"/>
      <c r="BD17" s="18"/>
      <c r="BE17" s="18" t="str">
        <f t="shared" si="2"/>
        <v/>
      </c>
      <c r="BF17" s="18" t="str">
        <f t="shared" si="3"/>
        <v/>
      </c>
      <c r="BG17" s="18"/>
      <c r="BH17" s="18" t="str">
        <f t="shared" si="4"/>
        <v/>
      </c>
      <c r="BI17" s="18" t="str">
        <f t="shared" si="5"/>
        <v/>
      </c>
      <c r="BJ17" s="18"/>
    </row>
    <row r="18" spans="1:62" ht="8.25" customHeight="1">
      <c r="A18" s="1"/>
      <c r="B18" s="2"/>
      <c r="C18" s="3"/>
      <c r="D18" s="65"/>
      <c r="E18" s="64"/>
      <c r="F18" s="4"/>
      <c r="G18" s="5"/>
      <c r="H18" s="6"/>
      <c r="I18" s="7"/>
      <c r="J18" s="7"/>
      <c r="K18" s="6"/>
      <c r="L18" s="7"/>
      <c r="M18" s="95"/>
      <c r="N18" s="127"/>
      <c r="O18" s="7"/>
      <c r="P18" s="2"/>
      <c r="Q18" s="56"/>
      <c r="R18" s="9"/>
      <c r="S18" s="10"/>
      <c r="T18" s="11"/>
      <c r="U18" s="12"/>
      <c r="V18" s="12"/>
      <c r="W18" s="12"/>
      <c r="X18" s="12"/>
      <c r="Y18" s="2"/>
      <c r="Z18" s="2"/>
      <c r="AA18" s="2"/>
      <c r="AB18" s="2"/>
      <c r="AC18" s="59"/>
      <c r="AD18" s="62"/>
      <c r="AE18" s="2"/>
      <c r="AF18" s="2"/>
      <c r="AG18" s="2"/>
      <c r="AH18" s="2"/>
      <c r="AI18" s="2"/>
      <c r="AJ18" s="12"/>
      <c r="AK18" s="12"/>
      <c r="AL18" s="12"/>
      <c r="AM18" s="13"/>
      <c r="AN18" s="11"/>
      <c r="AO18" s="12"/>
      <c r="AP18" s="4"/>
      <c r="AQ18" s="14"/>
      <c r="AR18" s="2"/>
      <c r="AS18" s="15"/>
      <c r="AT18" s="16"/>
      <c r="AU18" s="15"/>
      <c r="AV18" s="66"/>
      <c r="AW18" s="17"/>
      <c r="AX18" s="18"/>
      <c r="AY18" s="18" t="str">
        <f t="shared" si="0"/>
        <v/>
      </c>
      <c r="AZ18" s="18" t="str">
        <f t="shared" si="1"/>
        <v/>
      </c>
      <c r="BA18" s="18"/>
      <c r="BB18" s="18"/>
      <c r="BC18" s="18"/>
      <c r="BD18" s="18"/>
      <c r="BE18" s="18" t="str">
        <f t="shared" si="2"/>
        <v/>
      </c>
      <c r="BF18" s="18" t="str">
        <f t="shared" si="3"/>
        <v/>
      </c>
      <c r="BG18" s="18"/>
      <c r="BH18" s="18" t="str">
        <f t="shared" si="4"/>
        <v/>
      </c>
      <c r="BI18" s="18" t="str">
        <f t="shared" si="5"/>
        <v/>
      </c>
      <c r="BJ18" s="18"/>
    </row>
    <row r="19" spans="1:62" ht="8.25" customHeight="1">
      <c r="A19" s="1"/>
      <c r="B19" s="2"/>
      <c r="C19" s="3"/>
      <c r="D19" s="65"/>
      <c r="E19" s="64"/>
      <c r="F19" s="4"/>
      <c r="G19" s="5"/>
      <c r="H19" s="6"/>
      <c r="I19" s="7"/>
      <c r="J19" s="7"/>
      <c r="K19" s="6"/>
      <c r="L19" s="7"/>
      <c r="M19" s="95"/>
      <c r="N19" s="127"/>
      <c r="O19" s="7"/>
      <c r="P19" s="2"/>
      <c r="Q19" s="56"/>
      <c r="R19" s="9"/>
      <c r="S19" s="10"/>
      <c r="T19" s="11"/>
      <c r="U19" s="12"/>
      <c r="V19" s="12"/>
      <c r="W19" s="12"/>
      <c r="X19" s="12"/>
      <c r="Y19" s="2"/>
      <c r="Z19" s="2"/>
      <c r="AA19" s="2"/>
      <c r="AB19" s="2"/>
      <c r="AC19" s="59"/>
      <c r="AD19" s="62"/>
      <c r="AE19" s="2"/>
      <c r="AF19" s="2"/>
      <c r="AG19" s="2"/>
      <c r="AH19" s="2"/>
      <c r="AI19" s="2"/>
      <c r="AJ19" s="12"/>
      <c r="AK19" s="12"/>
      <c r="AL19" s="12"/>
      <c r="AM19" s="13"/>
      <c r="AN19" s="11"/>
      <c r="AO19" s="12"/>
      <c r="AP19" s="4"/>
      <c r="AQ19" s="14"/>
      <c r="AR19" s="2"/>
      <c r="AS19" s="15"/>
      <c r="AT19" s="16"/>
      <c r="AU19" s="15"/>
      <c r="AV19" s="66"/>
      <c r="AW19" s="17"/>
      <c r="AX19" s="18"/>
      <c r="AY19" s="18" t="str">
        <f t="shared" si="0"/>
        <v/>
      </c>
      <c r="AZ19" s="18" t="str">
        <f t="shared" si="1"/>
        <v/>
      </c>
      <c r="BA19" s="18"/>
      <c r="BB19" s="18"/>
      <c r="BC19" s="18"/>
      <c r="BD19" s="18"/>
      <c r="BE19" s="18" t="str">
        <f t="shared" si="2"/>
        <v/>
      </c>
      <c r="BF19" s="18" t="str">
        <f t="shared" si="3"/>
        <v/>
      </c>
      <c r="BG19" s="18"/>
      <c r="BH19" s="18" t="str">
        <f t="shared" si="4"/>
        <v/>
      </c>
      <c r="BI19" s="18" t="str">
        <f t="shared" si="5"/>
        <v/>
      </c>
      <c r="BJ19" s="18"/>
    </row>
    <row r="20" spans="1:62" ht="8.25" customHeight="1">
      <c r="A20" s="1"/>
      <c r="B20" s="2"/>
      <c r="C20" s="3"/>
      <c r="D20" s="65"/>
      <c r="E20" s="64"/>
      <c r="F20" s="4"/>
      <c r="G20" s="5"/>
      <c r="H20" s="6"/>
      <c r="I20" s="7"/>
      <c r="J20" s="7"/>
      <c r="K20" s="6"/>
      <c r="L20" s="7"/>
      <c r="M20" s="95"/>
      <c r="N20" s="127"/>
      <c r="O20" s="7"/>
      <c r="P20" s="2"/>
      <c r="Q20" s="56"/>
      <c r="R20" s="9"/>
      <c r="S20" s="10"/>
      <c r="T20" s="11"/>
      <c r="U20" s="12"/>
      <c r="V20" s="12"/>
      <c r="W20" s="12"/>
      <c r="X20" s="12"/>
      <c r="Y20" s="2"/>
      <c r="Z20" s="2"/>
      <c r="AA20" s="2"/>
      <c r="AB20" s="2"/>
      <c r="AC20" s="59"/>
      <c r="AD20" s="62"/>
      <c r="AE20" s="2"/>
      <c r="AF20" s="2"/>
      <c r="AG20" s="2"/>
      <c r="AH20" s="2"/>
      <c r="AI20" s="2"/>
      <c r="AJ20" s="12"/>
      <c r="AK20" s="12"/>
      <c r="AL20" s="12"/>
      <c r="AM20" s="13"/>
      <c r="AN20" s="11"/>
      <c r="AO20" s="12"/>
      <c r="AP20" s="4"/>
      <c r="AQ20" s="14"/>
      <c r="AR20" s="2"/>
      <c r="AS20" s="15"/>
      <c r="AT20" s="16"/>
      <c r="AU20" s="15"/>
      <c r="AV20" s="66"/>
      <c r="AW20" s="17"/>
      <c r="AX20" s="18"/>
      <c r="AY20" s="18" t="str">
        <f t="shared" si="0"/>
        <v/>
      </c>
      <c r="AZ20" s="18" t="str">
        <f t="shared" si="1"/>
        <v/>
      </c>
      <c r="BA20" s="18"/>
      <c r="BB20" s="18"/>
      <c r="BC20" s="18"/>
      <c r="BD20" s="18"/>
      <c r="BE20" s="18" t="str">
        <f t="shared" si="2"/>
        <v/>
      </c>
      <c r="BF20" s="18" t="str">
        <f t="shared" si="3"/>
        <v/>
      </c>
      <c r="BG20" s="18"/>
      <c r="BH20" s="18" t="str">
        <f t="shared" si="4"/>
        <v/>
      </c>
      <c r="BI20" s="18" t="str">
        <f t="shared" si="5"/>
        <v/>
      </c>
      <c r="BJ20" s="18"/>
    </row>
    <row r="21" spans="1:62" ht="8.25" customHeight="1">
      <c r="A21" s="1"/>
      <c r="B21" s="2"/>
      <c r="C21" s="3"/>
      <c r="D21" s="65"/>
      <c r="E21" s="64"/>
      <c r="F21" s="4"/>
      <c r="G21" s="5"/>
      <c r="H21" s="6"/>
      <c r="I21" s="7"/>
      <c r="J21" s="7"/>
      <c r="K21" s="6"/>
      <c r="L21" s="7"/>
      <c r="M21" s="95"/>
      <c r="N21" s="127"/>
      <c r="O21" s="127"/>
      <c r="P21" s="2"/>
      <c r="Q21" s="56"/>
      <c r="R21" s="9"/>
      <c r="S21" s="10"/>
      <c r="T21" s="11"/>
      <c r="U21" s="12"/>
      <c r="V21" s="12"/>
      <c r="W21" s="12"/>
      <c r="X21" s="12"/>
      <c r="Y21" s="2"/>
      <c r="Z21" s="2"/>
      <c r="AA21" s="2"/>
      <c r="AB21" s="2"/>
      <c r="AC21" s="59"/>
      <c r="AD21" s="62"/>
      <c r="AE21" s="2"/>
      <c r="AF21" s="2"/>
      <c r="AG21" s="2"/>
      <c r="AH21" s="2"/>
      <c r="AI21" s="2"/>
      <c r="AJ21" s="12"/>
      <c r="AK21" s="12"/>
      <c r="AL21" s="12"/>
      <c r="AM21" s="13"/>
      <c r="AN21" s="11"/>
      <c r="AO21" s="12"/>
      <c r="AP21" s="4"/>
      <c r="AQ21" s="14"/>
      <c r="AR21" s="2"/>
      <c r="AS21" s="15"/>
      <c r="AT21" s="16"/>
      <c r="AU21" s="15"/>
      <c r="AV21" s="66"/>
      <c r="AW21" s="17"/>
      <c r="AX21" s="18"/>
      <c r="AY21" s="18" t="str">
        <f t="shared" si="0"/>
        <v/>
      </c>
      <c r="AZ21" s="18" t="str">
        <f t="shared" si="1"/>
        <v/>
      </c>
      <c r="BA21" s="18"/>
      <c r="BB21" s="18"/>
      <c r="BC21" s="18"/>
      <c r="BD21" s="18"/>
      <c r="BE21" s="18" t="str">
        <f t="shared" si="2"/>
        <v/>
      </c>
      <c r="BF21" s="18" t="str">
        <f t="shared" si="3"/>
        <v/>
      </c>
      <c r="BG21" s="18"/>
      <c r="BH21" s="18" t="str">
        <f t="shared" si="4"/>
        <v/>
      </c>
      <c r="BI21" s="18" t="str">
        <f t="shared" si="5"/>
        <v/>
      </c>
      <c r="BJ21" s="18"/>
    </row>
    <row r="22" spans="1:62" ht="8.25" customHeight="1">
      <c r="A22" s="1"/>
      <c r="B22" s="2"/>
      <c r="C22" s="3"/>
      <c r="D22" s="65"/>
      <c r="E22" s="64"/>
      <c r="F22" s="4"/>
      <c r="G22" s="5"/>
      <c r="H22" s="6"/>
      <c r="I22" s="7"/>
      <c r="J22" s="7"/>
      <c r="K22" s="6"/>
      <c r="L22" s="7"/>
      <c r="M22" s="95"/>
      <c r="N22" s="127"/>
      <c r="O22" s="127"/>
      <c r="P22" s="2"/>
      <c r="Q22" s="56"/>
      <c r="R22" s="9"/>
      <c r="S22" s="10"/>
      <c r="T22" s="11"/>
      <c r="U22" s="12"/>
      <c r="V22" s="12"/>
      <c r="W22" s="12"/>
      <c r="X22" s="12"/>
      <c r="Y22" s="2"/>
      <c r="Z22" s="2"/>
      <c r="AA22" s="2"/>
      <c r="AB22" s="2"/>
      <c r="AC22" s="59"/>
      <c r="AD22" s="62"/>
      <c r="AE22" s="2"/>
      <c r="AF22" s="2"/>
      <c r="AG22" s="2"/>
      <c r="AH22" s="2"/>
      <c r="AI22" s="2"/>
      <c r="AJ22" s="12"/>
      <c r="AK22" s="12"/>
      <c r="AL22" s="12"/>
      <c r="AM22" s="13"/>
      <c r="AN22" s="11"/>
      <c r="AO22" s="12"/>
      <c r="AP22" s="4"/>
      <c r="AQ22" s="14"/>
      <c r="AR22" s="2"/>
      <c r="AS22" s="16"/>
      <c r="AT22" s="16"/>
      <c r="AU22" s="16"/>
      <c r="AV22" s="67"/>
      <c r="AW22" s="51"/>
      <c r="AX22" s="18"/>
      <c r="AY22" s="18" t="str">
        <f t="shared" si="0"/>
        <v/>
      </c>
      <c r="AZ22" s="18" t="str">
        <f t="shared" si="1"/>
        <v/>
      </c>
      <c r="BA22" s="18"/>
      <c r="BB22" s="18"/>
      <c r="BC22" s="18"/>
      <c r="BD22" s="18"/>
      <c r="BE22" s="18" t="str">
        <f t="shared" si="2"/>
        <v/>
      </c>
      <c r="BF22" s="18" t="str">
        <f t="shared" si="3"/>
        <v/>
      </c>
      <c r="BG22" s="18"/>
      <c r="BH22" s="18" t="str">
        <f t="shared" si="4"/>
        <v/>
      </c>
      <c r="BI22" s="18" t="str">
        <f t="shared" si="5"/>
        <v/>
      </c>
      <c r="BJ22" s="18"/>
    </row>
    <row r="23" spans="1:62" ht="8.25" customHeight="1">
      <c r="A23" s="1"/>
      <c r="B23" s="2"/>
      <c r="C23" s="3"/>
      <c r="D23" s="65"/>
      <c r="E23" s="64"/>
      <c r="F23" s="4"/>
      <c r="G23" s="5"/>
      <c r="H23" s="6"/>
      <c r="I23" s="7"/>
      <c r="J23" s="7"/>
      <c r="K23" s="6"/>
      <c r="L23" s="7"/>
      <c r="M23" s="95"/>
      <c r="N23" s="127"/>
      <c r="O23" s="127"/>
      <c r="P23" s="2"/>
      <c r="Q23" s="56"/>
      <c r="R23" s="9"/>
      <c r="S23" s="10"/>
      <c r="T23" s="11"/>
      <c r="U23" s="12"/>
      <c r="V23" s="12"/>
      <c r="W23" s="12"/>
      <c r="X23" s="12"/>
      <c r="Y23" s="2"/>
      <c r="Z23" s="2"/>
      <c r="AA23" s="2"/>
      <c r="AB23" s="2"/>
      <c r="AC23" s="59"/>
      <c r="AD23" s="62"/>
      <c r="AE23" s="2"/>
      <c r="AF23" s="2"/>
      <c r="AG23" s="2"/>
      <c r="AH23" s="2"/>
      <c r="AI23" s="2"/>
      <c r="AJ23" s="12"/>
      <c r="AK23" s="12"/>
      <c r="AL23" s="12"/>
      <c r="AM23" s="13"/>
      <c r="AN23" s="11"/>
      <c r="AO23" s="12"/>
      <c r="AP23" s="4"/>
      <c r="AQ23" s="14"/>
      <c r="AR23" s="2"/>
      <c r="AS23" s="15"/>
      <c r="AT23" s="16"/>
      <c r="AU23" s="15"/>
      <c r="AV23" s="66"/>
      <c r="AW23" s="17"/>
      <c r="AX23" s="18"/>
      <c r="AY23" s="18" t="str">
        <f t="shared" si="0"/>
        <v/>
      </c>
      <c r="AZ23" s="18" t="str">
        <f t="shared" si="1"/>
        <v/>
      </c>
      <c r="BA23" s="18"/>
      <c r="BB23" s="18"/>
      <c r="BC23" s="18"/>
      <c r="BD23" s="18"/>
      <c r="BE23" s="18" t="str">
        <f t="shared" si="2"/>
        <v/>
      </c>
      <c r="BF23" s="18" t="str">
        <f t="shared" si="3"/>
        <v/>
      </c>
      <c r="BG23" s="18"/>
      <c r="BH23" s="18" t="str">
        <f t="shared" si="4"/>
        <v/>
      </c>
      <c r="BI23" s="18" t="str">
        <f t="shared" si="5"/>
        <v/>
      </c>
      <c r="BJ23" s="18"/>
    </row>
    <row r="24" spans="1:62" ht="8.25" customHeight="1">
      <c r="A24" s="1"/>
      <c r="B24" s="2"/>
      <c r="C24" s="3"/>
      <c r="D24" s="65"/>
      <c r="E24" s="64"/>
      <c r="F24" s="4"/>
      <c r="G24" s="5"/>
      <c r="H24" s="6"/>
      <c r="I24" s="7"/>
      <c r="J24" s="7"/>
      <c r="K24" s="6"/>
      <c r="L24" s="7"/>
      <c r="M24" s="95"/>
      <c r="N24" s="127"/>
      <c r="O24" s="127"/>
      <c r="P24" s="2"/>
      <c r="Q24" s="56"/>
      <c r="R24" s="9"/>
      <c r="S24" s="10"/>
      <c r="T24" s="11"/>
      <c r="U24" s="12"/>
      <c r="V24" s="12"/>
      <c r="W24" s="12"/>
      <c r="X24" s="12"/>
      <c r="Y24" s="2"/>
      <c r="Z24" s="2"/>
      <c r="AA24" s="2"/>
      <c r="AB24" s="2"/>
      <c r="AC24" s="59"/>
      <c r="AD24" s="62"/>
      <c r="AE24" s="2"/>
      <c r="AF24" s="2"/>
      <c r="AG24" s="2"/>
      <c r="AH24" s="2"/>
      <c r="AI24" s="2"/>
      <c r="AJ24" s="12"/>
      <c r="AK24" s="12"/>
      <c r="AL24" s="12"/>
      <c r="AM24" s="13"/>
      <c r="AN24" s="11"/>
      <c r="AO24" s="12"/>
      <c r="AP24" s="4"/>
      <c r="AQ24" s="14"/>
      <c r="AR24" s="2"/>
      <c r="AS24" s="15"/>
      <c r="AT24" s="16"/>
      <c r="AU24" s="15"/>
      <c r="AV24" s="66"/>
      <c r="AW24" s="17"/>
      <c r="AX24" s="18"/>
      <c r="AY24" s="18" t="str">
        <f t="shared" si="0"/>
        <v/>
      </c>
      <c r="AZ24" s="18" t="str">
        <f t="shared" si="1"/>
        <v/>
      </c>
      <c r="BA24" s="18"/>
      <c r="BB24" s="18"/>
      <c r="BC24" s="18"/>
      <c r="BD24" s="18"/>
      <c r="BE24" s="18" t="str">
        <f t="shared" si="2"/>
        <v/>
      </c>
      <c r="BF24" s="18" t="str">
        <f t="shared" si="3"/>
        <v/>
      </c>
      <c r="BG24" s="18"/>
      <c r="BH24" s="18" t="str">
        <f t="shared" si="4"/>
        <v/>
      </c>
      <c r="BI24" s="18" t="str">
        <f t="shared" si="5"/>
        <v/>
      </c>
      <c r="BJ24" s="18"/>
    </row>
    <row r="25" spans="1:62" ht="8.25" customHeight="1">
      <c r="A25" s="1"/>
      <c r="B25" s="2"/>
      <c r="C25" s="3"/>
      <c r="D25" s="65"/>
      <c r="E25" s="64"/>
      <c r="F25" s="4"/>
      <c r="G25" s="5"/>
      <c r="H25" s="6"/>
      <c r="I25" s="7"/>
      <c r="J25" s="7"/>
      <c r="K25" s="6"/>
      <c r="L25" s="7"/>
      <c r="M25" s="95"/>
      <c r="N25" s="127"/>
      <c r="O25" s="127"/>
      <c r="P25" s="2"/>
      <c r="Q25" s="56"/>
      <c r="R25" s="9"/>
      <c r="S25" s="10"/>
      <c r="T25" s="11"/>
      <c r="U25" s="12"/>
      <c r="V25" s="12"/>
      <c r="W25" s="12"/>
      <c r="X25" s="12"/>
      <c r="Y25" s="2"/>
      <c r="Z25" s="2"/>
      <c r="AA25" s="2"/>
      <c r="AB25" s="2"/>
      <c r="AC25" s="59"/>
      <c r="AD25" s="62"/>
      <c r="AE25" s="2"/>
      <c r="AF25" s="2"/>
      <c r="AG25" s="2"/>
      <c r="AH25" s="2"/>
      <c r="AI25" s="2"/>
      <c r="AJ25" s="12"/>
      <c r="AK25" s="12"/>
      <c r="AL25" s="12"/>
      <c r="AM25" s="13"/>
      <c r="AN25" s="11"/>
      <c r="AO25" s="12"/>
      <c r="AP25" s="4"/>
      <c r="AQ25" s="14"/>
      <c r="AR25" s="2"/>
      <c r="AS25" s="15"/>
      <c r="AT25" s="16"/>
      <c r="AU25" s="15"/>
      <c r="AV25" s="66"/>
      <c r="AW25" s="17"/>
      <c r="AX25" s="18"/>
      <c r="AY25" s="18" t="str">
        <f t="shared" si="0"/>
        <v/>
      </c>
      <c r="AZ25" s="18" t="str">
        <f t="shared" si="1"/>
        <v/>
      </c>
      <c r="BA25" s="18"/>
      <c r="BB25" s="18"/>
      <c r="BC25" s="18"/>
      <c r="BD25" s="18"/>
      <c r="BE25" s="18" t="str">
        <f t="shared" si="2"/>
        <v/>
      </c>
      <c r="BF25" s="18" t="str">
        <f t="shared" si="3"/>
        <v/>
      </c>
      <c r="BG25" s="18"/>
      <c r="BH25" s="18" t="str">
        <f t="shared" si="4"/>
        <v/>
      </c>
      <c r="BI25" s="18" t="str">
        <f t="shared" si="5"/>
        <v/>
      </c>
      <c r="BJ25" s="18"/>
    </row>
    <row r="26" spans="1:62" ht="8.25" customHeight="1">
      <c r="A26" s="1"/>
      <c r="B26" s="2"/>
      <c r="C26" s="3"/>
      <c r="D26" s="65"/>
      <c r="E26" s="64"/>
      <c r="F26" s="4"/>
      <c r="G26" s="5"/>
      <c r="H26" s="6"/>
      <c r="I26" s="7"/>
      <c r="J26" s="7"/>
      <c r="K26" s="6"/>
      <c r="L26" s="7"/>
      <c r="M26" s="95"/>
      <c r="N26" s="127"/>
      <c r="O26" s="127"/>
      <c r="P26" s="2"/>
      <c r="Q26" s="56"/>
      <c r="R26" s="9"/>
      <c r="S26" s="10"/>
      <c r="T26" s="11"/>
      <c r="U26" s="12"/>
      <c r="V26" s="12"/>
      <c r="W26" s="12"/>
      <c r="X26" s="12"/>
      <c r="Y26" s="2"/>
      <c r="Z26" s="2"/>
      <c r="AA26" s="2"/>
      <c r="AB26" s="2"/>
      <c r="AC26" s="59"/>
      <c r="AD26" s="62"/>
      <c r="AE26" s="2"/>
      <c r="AF26" s="2"/>
      <c r="AG26" s="2"/>
      <c r="AH26" s="2"/>
      <c r="AI26" s="2"/>
      <c r="AJ26" s="12"/>
      <c r="AK26" s="12"/>
      <c r="AL26" s="12"/>
      <c r="AM26" s="13"/>
      <c r="AN26" s="11"/>
      <c r="AO26" s="12"/>
      <c r="AP26" s="4"/>
      <c r="AQ26" s="14"/>
      <c r="AR26" s="2"/>
      <c r="AS26" s="15"/>
      <c r="AT26" s="16"/>
      <c r="AU26" s="15"/>
      <c r="AV26" s="66"/>
      <c r="AW26" s="17"/>
      <c r="AX26" s="18"/>
      <c r="AY26" s="18" t="str">
        <f t="shared" si="0"/>
        <v/>
      </c>
      <c r="AZ26" s="18" t="str">
        <f t="shared" si="1"/>
        <v/>
      </c>
      <c r="BA26" s="18"/>
      <c r="BB26" s="18"/>
      <c r="BC26" s="18"/>
      <c r="BD26" s="18"/>
      <c r="BE26" s="18" t="str">
        <f t="shared" si="2"/>
        <v/>
      </c>
      <c r="BF26" s="18" t="str">
        <f t="shared" si="3"/>
        <v/>
      </c>
      <c r="BG26" s="18"/>
      <c r="BH26" s="18" t="str">
        <f t="shared" si="4"/>
        <v/>
      </c>
      <c r="BI26" s="18" t="str">
        <f t="shared" si="5"/>
        <v/>
      </c>
      <c r="BJ26" s="18"/>
    </row>
    <row r="27" spans="1:62" ht="8.25" customHeight="1">
      <c r="A27" s="1"/>
      <c r="B27" s="2"/>
      <c r="C27" s="3"/>
      <c r="D27" s="65"/>
      <c r="E27" s="64"/>
      <c r="F27" s="4"/>
      <c r="G27" s="5"/>
      <c r="H27" s="6"/>
      <c r="I27" s="7"/>
      <c r="J27" s="7"/>
      <c r="K27" s="6"/>
      <c r="L27" s="7"/>
      <c r="M27" s="95"/>
      <c r="N27" s="127"/>
      <c r="O27" s="127"/>
      <c r="P27" s="2"/>
      <c r="Q27" s="56"/>
      <c r="R27" s="9"/>
      <c r="S27" s="10"/>
      <c r="T27" s="11"/>
      <c r="U27" s="12"/>
      <c r="V27" s="12"/>
      <c r="W27" s="12"/>
      <c r="X27" s="12"/>
      <c r="Y27" s="2"/>
      <c r="Z27" s="2"/>
      <c r="AA27" s="2"/>
      <c r="AB27" s="2"/>
      <c r="AC27" s="59"/>
      <c r="AD27" s="62"/>
      <c r="AE27" s="2"/>
      <c r="AF27" s="2"/>
      <c r="AG27" s="2"/>
      <c r="AH27" s="2"/>
      <c r="AI27" s="2"/>
      <c r="AJ27" s="12"/>
      <c r="AK27" s="12"/>
      <c r="AL27" s="12"/>
      <c r="AM27" s="13"/>
      <c r="AN27" s="11"/>
      <c r="AO27" s="12"/>
      <c r="AP27" s="4"/>
      <c r="AQ27" s="14"/>
      <c r="AR27" s="2"/>
      <c r="AS27" s="16"/>
      <c r="AT27" s="16"/>
      <c r="AU27" s="16"/>
      <c r="AV27" s="67"/>
      <c r="AW27" s="51"/>
      <c r="AX27" s="18"/>
      <c r="AY27" s="18" t="str">
        <f t="shared" si="0"/>
        <v/>
      </c>
      <c r="AZ27" s="18" t="str">
        <f t="shared" si="1"/>
        <v/>
      </c>
      <c r="BA27" s="18"/>
      <c r="BB27" s="18"/>
      <c r="BC27" s="18"/>
      <c r="BD27" s="18"/>
      <c r="BE27" s="18" t="str">
        <f t="shared" si="2"/>
        <v/>
      </c>
      <c r="BF27" s="18" t="str">
        <f t="shared" si="3"/>
        <v/>
      </c>
      <c r="BG27" s="18"/>
      <c r="BH27" s="18" t="str">
        <f t="shared" si="4"/>
        <v/>
      </c>
      <c r="BI27" s="18" t="str">
        <f t="shared" si="5"/>
        <v/>
      </c>
      <c r="BJ27" s="18"/>
    </row>
    <row r="28" spans="1:62" ht="8.25" customHeight="1">
      <c r="A28" s="1"/>
      <c r="B28" s="2"/>
      <c r="C28" s="3"/>
      <c r="D28" s="65"/>
      <c r="E28" s="64"/>
      <c r="F28" s="4"/>
      <c r="G28" s="5"/>
      <c r="H28" s="6"/>
      <c r="I28" s="7"/>
      <c r="J28" s="7"/>
      <c r="K28" s="6"/>
      <c r="L28" s="7"/>
      <c r="M28" s="95"/>
      <c r="N28" s="127"/>
      <c r="O28" s="127"/>
      <c r="P28" s="2"/>
      <c r="Q28" s="56"/>
      <c r="R28" s="9"/>
      <c r="S28" s="10"/>
      <c r="T28" s="11"/>
      <c r="U28" s="12"/>
      <c r="V28" s="12"/>
      <c r="W28" s="12"/>
      <c r="X28" s="12"/>
      <c r="Y28" s="2"/>
      <c r="Z28" s="2"/>
      <c r="AA28" s="2"/>
      <c r="AB28" s="2"/>
      <c r="AC28" s="59"/>
      <c r="AD28" s="62"/>
      <c r="AE28" s="2"/>
      <c r="AF28" s="2"/>
      <c r="AG28" s="2"/>
      <c r="AH28" s="2"/>
      <c r="AI28" s="2"/>
      <c r="AJ28" s="12"/>
      <c r="AK28" s="12"/>
      <c r="AL28" s="12"/>
      <c r="AM28" s="13"/>
      <c r="AN28" s="11"/>
      <c r="AO28" s="12"/>
      <c r="AP28" s="4"/>
      <c r="AQ28" s="14"/>
      <c r="AR28" s="2"/>
      <c r="AS28" s="15"/>
      <c r="AT28" s="16"/>
      <c r="AU28" s="15"/>
      <c r="AV28" s="66"/>
      <c r="AW28" s="17"/>
      <c r="AX28" s="18"/>
      <c r="AY28" s="18" t="str">
        <f t="shared" si="0"/>
        <v/>
      </c>
      <c r="AZ28" s="18" t="str">
        <f t="shared" si="1"/>
        <v/>
      </c>
      <c r="BA28" s="18"/>
      <c r="BB28" s="18"/>
      <c r="BC28" s="18"/>
      <c r="BD28" s="18"/>
      <c r="BE28" s="18" t="str">
        <f t="shared" si="2"/>
        <v/>
      </c>
      <c r="BF28" s="18" t="str">
        <f t="shared" si="3"/>
        <v/>
      </c>
      <c r="BG28" s="18"/>
      <c r="BH28" s="18" t="str">
        <f t="shared" si="4"/>
        <v/>
      </c>
      <c r="BI28" s="18" t="str">
        <f t="shared" si="5"/>
        <v/>
      </c>
      <c r="BJ28" s="18"/>
    </row>
    <row r="29" spans="1:62" ht="8.25" customHeight="1">
      <c r="A29" s="1"/>
      <c r="B29" s="2"/>
      <c r="C29" s="3"/>
      <c r="D29" s="65"/>
      <c r="E29" s="64"/>
      <c r="F29" s="4"/>
      <c r="G29" s="5"/>
      <c r="H29" s="6"/>
      <c r="I29" s="7"/>
      <c r="J29" s="7"/>
      <c r="K29" s="6"/>
      <c r="L29" s="7"/>
      <c r="M29" s="95"/>
      <c r="N29" s="127"/>
      <c r="O29" s="127"/>
      <c r="P29" s="2"/>
      <c r="Q29" s="56"/>
      <c r="R29" s="9"/>
      <c r="S29" s="10"/>
      <c r="T29" s="11"/>
      <c r="U29" s="12"/>
      <c r="V29" s="12"/>
      <c r="W29" s="12"/>
      <c r="X29" s="12"/>
      <c r="Y29" s="2"/>
      <c r="Z29" s="2"/>
      <c r="AA29" s="2"/>
      <c r="AB29" s="2"/>
      <c r="AC29" s="59"/>
      <c r="AD29" s="62"/>
      <c r="AE29" s="2"/>
      <c r="AF29" s="2"/>
      <c r="AG29" s="2"/>
      <c r="AH29" s="2"/>
      <c r="AI29" s="2"/>
      <c r="AJ29" s="12"/>
      <c r="AK29" s="12"/>
      <c r="AL29" s="12"/>
      <c r="AM29" s="13"/>
      <c r="AN29" s="11"/>
      <c r="AO29" s="12"/>
      <c r="AP29" s="4"/>
      <c r="AQ29" s="14"/>
      <c r="AR29" s="2"/>
      <c r="AS29" s="15"/>
      <c r="AT29" s="16"/>
      <c r="AU29" s="15"/>
      <c r="AV29" s="66"/>
      <c r="AW29" s="17"/>
      <c r="AX29" s="18"/>
      <c r="AY29" s="18" t="str">
        <f t="shared" si="0"/>
        <v/>
      </c>
      <c r="AZ29" s="18" t="str">
        <f t="shared" si="1"/>
        <v/>
      </c>
      <c r="BA29" s="18"/>
      <c r="BB29" s="18"/>
      <c r="BC29" s="18"/>
      <c r="BD29" s="18"/>
      <c r="BE29" s="18" t="str">
        <f t="shared" si="2"/>
        <v/>
      </c>
      <c r="BF29" s="18" t="str">
        <f t="shared" si="3"/>
        <v/>
      </c>
      <c r="BG29" s="18"/>
      <c r="BH29" s="18" t="str">
        <f t="shared" si="4"/>
        <v/>
      </c>
      <c r="BI29" s="18" t="str">
        <f t="shared" si="5"/>
        <v/>
      </c>
      <c r="BJ29" s="18"/>
    </row>
    <row r="30" spans="1:62" ht="8.25" customHeight="1">
      <c r="A30" s="1"/>
      <c r="B30" s="2"/>
      <c r="C30" s="3"/>
      <c r="D30" s="65"/>
      <c r="E30" s="64"/>
      <c r="F30" s="4"/>
      <c r="G30" s="5"/>
      <c r="H30" s="6"/>
      <c r="I30" s="7"/>
      <c r="J30" s="7"/>
      <c r="K30" s="6"/>
      <c r="L30" s="7"/>
      <c r="M30" s="95"/>
      <c r="N30" s="127"/>
      <c r="O30" s="127"/>
      <c r="P30" s="2"/>
      <c r="Q30" s="56"/>
      <c r="R30" s="9"/>
      <c r="S30" s="10"/>
      <c r="T30" s="11"/>
      <c r="U30" s="12"/>
      <c r="V30" s="12"/>
      <c r="W30" s="12"/>
      <c r="X30" s="12"/>
      <c r="Y30" s="2"/>
      <c r="Z30" s="2"/>
      <c r="AA30" s="2"/>
      <c r="AB30" s="2"/>
      <c r="AC30" s="59"/>
      <c r="AD30" s="62"/>
      <c r="AE30" s="2"/>
      <c r="AF30" s="2"/>
      <c r="AG30" s="2"/>
      <c r="AH30" s="2"/>
      <c r="AI30" s="2"/>
      <c r="AJ30" s="12"/>
      <c r="AK30" s="12"/>
      <c r="AL30" s="12"/>
      <c r="AM30" s="13"/>
      <c r="AN30" s="11"/>
      <c r="AO30" s="12"/>
      <c r="AP30" s="4"/>
      <c r="AQ30" s="14"/>
      <c r="AR30" s="2"/>
      <c r="AS30" s="15"/>
      <c r="AT30" s="16"/>
      <c r="AU30" s="15"/>
      <c r="AV30" s="66"/>
      <c r="AW30" s="17"/>
      <c r="AX30" s="18"/>
      <c r="AY30" s="18" t="str">
        <f t="shared" si="0"/>
        <v/>
      </c>
      <c r="AZ30" s="18" t="str">
        <f t="shared" si="1"/>
        <v/>
      </c>
      <c r="BA30" s="18"/>
      <c r="BB30" s="18"/>
      <c r="BC30" s="18"/>
      <c r="BD30" s="18"/>
      <c r="BE30" s="18" t="str">
        <f t="shared" si="2"/>
        <v/>
      </c>
      <c r="BF30" s="18" t="str">
        <f t="shared" si="3"/>
        <v/>
      </c>
      <c r="BG30" s="18"/>
      <c r="BH30" s="18" t="str">
        <f t="shared" si="4"/>
        <v/>
      </c>
      <c r="BI30" s="18" t="str">
        <f t="shared" si="5"/>
        <v/>
      </c>
      <c r="BJ30" s="18"/>
    </row>
    <row r="31" spans="1:62" ht="8.25" customHeight="1">
      <c r="A31" s="1"/>
      <c r="B31" s="2"/>
      <c r="C31" s="3"/>
      <c r="D31" s="65"/>
      <c r="E31" s="64"/>
      <c r="F31" s="4"/>
      <c r="G31" s="5"/>
      <c r="H31" s="6"/>
      <c r="I31" s="7"/>
      <c r="J31" s="7"/>
      <c r="K31" s="6"/>
      <c r="L31" s="7"/>
      <c r="M31" s="95"/>
      <c r="N31" s="127"/>
      <c r="O31" s="127"/>
      <c r="P31" s="2"/>
      <c r="Q31" s="56"/>
      <c r="R31" s="9"/>
      <c r="S31" s="10"/>
      <c r="T31" s="11"/>
      <c r="U31" s="12"/>
      <c r="V31" s="12"/>
      <c r="W31" s="12"/>
      <c r="X31" s="12"/>
      <c r="Y31" s="2"/>
      <c r="Z31" s="2"/>
      <c r="AA31" s="2"/>
      <c r="AB31" s="2"/>
      <c r="AC31" s="59"/>
      <c r="AD31" s="62"/>
      <c r="AE31" s="2"/>
      <c r="AF31" s="2"/>
      <c r="AG31" s="2"/>
      <c r="AH31" s="2"/>
      <c r="AI31" s="2"/>
      <c r="AJ31" s="12"/>
      <c r="AK31" s="12"/>
      <c r="AL31" s="12"/>
      <c r="AM31" s="13"/>
      <c r="AN31" s="11"/>
      <c r="AO31" s="12"/>
      <c r="AP31" s="4"/>
      <c r="AQ31" s="14"/>
      <c r="AR31" s="2"/>
      <c r="AS31" s="16"/>
      <c r="AT31" s="16"/>
      <c r="AU31" s="16"/>
      <c r="AV31" s="67"/>
      <c r="AW31" s="51"/>
      <c r="AX31" s="18"/>
      <c r="AY31" s="18" t="str">
        <f t="shared" si="0"/>
        <v/>
      </c>
      <c r="AZ31" s="18" t="str">
        <f t="shared" si="1"/>
        <v/>
      </c>
      <c r="BA31" s="18"/>
      <c r="BB31" s="18"/>
      <c r="BC31" s="18"/>
      <c r="BD31" s="18"/>
      <c r="BE31" s="18" t="str">
        <f t="shared" si="2"/>
        <v/>
      </c>
      <c r="BF31" s="18" t="str">
        <f t="shared" si="3"/>
        <v/>
      </c>
      <c r="BG31" s="18"/>
      <c r="BH31" s="18" t="str">
        <f t="shared" si="4"/>
        <v/>
      </c>
      <c r="BI31" s="18" t="str">
        <f t="shared" si="5"/>
        <v/>
      </c>
      <c r="BJ31" s="18"/>
    </row>
    <row r="32" spans="1:62" ht="8.25" customHeight="1">
      <c r="A32" s="1"/>
      <c r="B32" s="2"/>
      <c r="C32" s="3"/>
      <c r="D32" s="65"/>
      <c r="E32" s="64"/>
      <c r="F32" s="4"/>
      <c r="G32" s="5"/>
      <c r="H32" s="6"/>
      <c r="I32" s="7"/>
      <c r="J32" s="7"/>
      <c r="K32" s="6"/>
      <c r="L32" s="7"/>
      <c r="M32" s="95"/>
      <c r="N32" s="127"/>
      <c r="O32" s="127"/>
      <c r="P32" s="2"/>
      <c r="Q32" s="56"/>
      <c r="R32" s="9"/>
      <c r="S32" s="10"/>
      <c r="T32" s="11"/>
      <c r="U32" s="12"/>
      <c r="V32" s="12"/>
      <c r="W32" s="12"/>
      <c r="X32" s="12"/>
      <c r="Y32" s="2"/>
      <c r="Z32" s="2"/>
      <c r="AA32" s="2"/>
      <c r="AB32" s="2"/>
      <c r="AC32" s="59"/>
      <c r="AD32" s="62"/>
      <c r="AE32" s="2"/>
      <c r="AF32" s="2"/>
      <c r="AG32" s="2"/>
      <c r="AH32" s="2"/>
      <c r="AI32" s="2"/>
      <c r="AJ32" s="12"/>
      <c r="AK32" s="12"/>
      <c r="AL32" s="12"/>
      <c r="AM32" s="13"/>
      <c r="AN32" s="11"/>
      <c r="AO32" s="12"/>
      <c r="AP32" s="4"/>
      <c r="AQ32" s="14"/>
      <c r="AR32" s="2"/>
      <c r="AS32" s="16"/>
      <c r="AT32" s="16"/>
      <c r="AU32" s="16"/>
      <c r="AV32" s="67"/>
      <c r="AW32" s="51"/>
      <c r="AX32" s="18"/>
      <c r="AY32" s="18" t="str">
        <f t="shared" si="0"/>
        <v/>
      </c>
      <c r="AZ32" s="18" t="str">
        <f t="shared" si="1"/>
        <v/>
      </c>
      <c r="BA32" s="18"/>
      <c r="BB32" s="18"/>
      <c r="BC32" s="18"/>
      <c r="BD32" s="18"/>
      <c r="BE32" s="18" t="str">
        <f t="shared" si="2"/>
        <v/>
      </c>
      <c r="BF32" s="18" t="str">
        <f t="shared" si="3"/>
        <v/>
      </c>
      <c r="BG32" s="18"/>
      <c r="BH32" s="18" t="str">
        <f t="shared" si="4"/>
        <v/>
      </c>
      <c r="BI32" s="18" t="str">
        <f t="shared" si="5"/>
        <v/>
      </c>
      <c r="BJ32" s="18"/>
    </row>
    <row r="33" spans="1:62" ht="8.25" customHeight="1">
      <c r="A33" s="1"/>
      <c r="B33" s="2"/>
      <c r="C33" s="3"/>
      <c r="D33" s="65"/>
      <c r="E33" s="64"/>
      <c r="F33" s="4"/>
      <c r="G33" s="5"/>
      <c r="H33" s="6"/>
      <c r="I33" s="7"/>
      <c r="J33" s="7"/>
      <c r="K33" s="6"/>
      <c r="L33" s="7"/>
      <c r="M33" s="95"/>
      <c r="N33" s="127"/>
      <c r="O33" s="127"/>
      <c r="P33" s="2"/>
      <c r="Q33" s="56"/>
      <c r="R33" s="9"/>
      <c r="S33" s="10"/>
      <c r="T33" s="11"/>
      <c r="U33" s="12"/>
      <c r="V33" s="12"/>
      <c r="W33" s="12"/>
      <c r="X33" s="12"/>
      <c r="Y33" s="2"/>
      <c r="Z33" s="2"/>
      <c r="AA33" s="2"/>
      <c r="AB33" s="2"/>
      <c r="AC33" s="59"/>
      <c r="AD33" s="62"/>
      <c r="AE33" s="2"/>
      <c r="AF33" s="2"/>
      <c r="AG33" s="2"/>
      <c r="AH33" s="2"/>
      <c r="AI33" s="2"/>
      <c r="AJ33" s="12"/>
      <c r="AK33" s="12"/>
      <c r="AL33" s="12"/>
      <c r="AM33" s="13"/>
      <c r="AN33" s="11"/>
      <c r="AO33" s="12"/>
      <c r="AP33" s="4"/>
      <c r="AQ33" s="14"/>
      <c r="AR33" s="2"/>
      <c r="AS33" s="15"/>
      <c r="AT33" s="16"/>
      <c r="AU33" s="15"/>
      <c r="AV33" s="66"/>
      <c r="AW33" s="17"/>
      <c r="AX33" s="18"/>
      <c r="AY33" s="18" t="str">
        <f t="shared" si="0"/>
        <v/>
      </c>
      <c r="AZ33" s="18" t="str">
        <f t="shared" si="1"/>
        <v/>
      </c>
      <c r="BA33" s="18"/>
      <c r="BB33" s="18"/>
      <c r="BC33" s="18"/>
      <c r="BD33" s="18"/>
      <c r="BE33" s="18" t="str">
        <f t="shared" si="2"/>
        <v/>
      </c>
      <c r="BF33" s="18" t="str">
        <f t="shared" si="3"/>
        <v/>
      </c>
      <c r="BG33" s="18"/>
      <c r="BH33" s="18" t="str">
        <f t="shared" si="4"/>
        <v/>
      </c>
      <c r="BI33" s="18" t="str">
        <f t="shared" si="5"/>
        <v/>
      </c>
      <c r="BJ33" s="18"/>
    </row>
    <row r="34" spans="1:62" ht="8.25" customHeight="1">
      <c r="A34" s="1"/>
      <c r="B34" s="2"/>
      <c r="C34" s="3"/>
      <c r="D34" s="65"/>
      <c r="E34" s="64"/>
      <c r="F34" s="4"/>
      <c r="G34" s="5"/>
      <c r="H34" s="6"/>
      <c r="I34" s="7"/>
      <c r="J34" s="7"/>
      <c r="K34" s="6"/>
      <c r="L34" s="7"/>
      <c r="M34" s="95"/>
      <c r="N34" s="127"/>
      <c r="O34" s="127"/>
      <c r="P34" s="2"/>
      <c r="Q34" s="56"/>
      <c r="R34" s="9"/>
      <c r="S34" s="10"/>
      <c r="T34" s="11"/>
      <c r="U34" s="12"/>
      <c r="V34" s="12"/>
      <c r="W34" s="12"/>
      <c r="X34" s="12"/>
      <c r="Y34" s="2"/>
      <c r="Z34" s="2"/>
      <c r="AA34" s="2"/>
      <c r="AB34" s="2"/>
      <c r="AC34" s="59"/>
      <c r="AD34" s="62"/>
      <c r="AE34" s="2"/>
      <c r="AF34" s="2"/>
      <c r="AG34" s="2"/>
      <c r="AH34" s="2"/>
      <c r="AI34" s="2"/>
      <c r="AJ34" s="12"/>
      <c r="AK34" s="12"/>
      <c r="AL34" s="12"/>
      <c r="AM34" s="13"/>
      <c r="AN34" s="11"/>
      <c r="AO34" s="12"/>
      <c r="AP34" s="4"/>
      <c r="AQ34" s="14"/>
      <c r="AR34" s="2"/>
      <c r="AS34" s="15"/>
      <c r="AT34" s="16"/>
      <c r="AU34" s="15"/>
      <c r="AV34" s="66"/>
      <c r="AW34" s="17"/>
      <c r="AX34" s="18"/>
      <c r="AY34" s="18" t="str">
        <f t="shared" si="0"/>
        <v/>
      </c>
      <c r="AZ34" s="18" t="str">
        <f t="shared" si="1"/>
        <v/>
      </c>
      <c r="BA34" s="18"/>
      <c r="BB34" s="18"/>
      <c r="BC34" s="18"/>
      <c r="BD34" s="18"/>
      <c r="BE34" s="18" t="str">
        <f t="shared" si="2"/>
        <v/>
      </c>
      <c r="BF34" s="18" t="str">
        <f t="shared" si="3"/>
        <v/>
      </c>
      <c r="BG34" s="18"/>
      <c r="BH34" s="18" t="str">
        <f t="shared" si="4"/>
        <v/>
      </c>
      <c r="BI34" s="18" t="str">
        <f t="shared" si="5"/>
        <v/>
      </c>
      <c r="BJ34" s="18"/>
    </row>
    <row r="35" spans="1:62" ht="8.25" customHeight="1">
      <c r="A35" s="1"/>
      <c r="B35" s="2"/>
      <c r="C35" s="3"/>
      <c r="D35" s="65"/>
      <c r="E35" s="64"/>
      <c r="F35" s="4"/>
      <c r="G35" s="5"/>
      <c r="H35" s="6"/>
      <c r="I35" s="7"/>
      <c r="J35" s="7"/>
      <c r="K35" s="6"/>
      <c r="L35" s="7"/>
      <c r="M35" s="95"/>
      <c r="N35" s="127"/>
      <c r="O35" s="127"/>
      <c r="P35" s="2"/>
      <c r="Q35" s="56"/>
      <c r="R35" s="9"/>
      <c r="S35" s="10"/>
      <c r="T35" s="11"/>
      <c r="U35" s="12"/>
      <c r="V35" s="12"/>
      <c r="W35" s="12"/>
      <c r="X35" s="12"/>
      <c r="Y35" s="2"/>
      <c r="Z35" s="2"/>
      <c r="AA35" s="2"/>
      <c r="AB35" s="2"/>
      <c r="AC35" s="59"/>
      <c r="AD35" s="62"/>
      <c r="AE35" s="2"/>
      <c r="AF35" s="2"/>
      <c r="AG35" s="2"/>
      <c r="AH35" s="2"/>
      <c r="AI35" s="2"/>
      <c r="AJ35" s="12"/>
      <c r="AK35" s="12"/>
      <c r="AL35" s="12"/>
      <c r="AM35" s="13"/>
      <c r="AN35" s="11"/>
      <c r="AO35" s="12"/>
      <c r="AP35" s="4"/>
      <c r="AQ35" s="14"/>
      <c r="AR35" s="2"/>
      <c r="AS35" s="15"/>
      <c r="AT35" s="16"/>
      <c r="AU35" s="15"/>
      <c r="AV35" s="66"/>
      <c r="AW35" s="17"/>
      <c r="AX35" s="18"/>
      <c r="AY35" s="18" t="str">
        <f t="shared" si="0"/>
        <v/>
      </c>
      <c r="AZ35" s="18" t="str">
        <f t="shared" si="1"/>
        <v/>
      </c>
      <c r="BA35" s="18"/>
      <c r="BB35" s="18"/>
      <c r="BC35" s="18"/>
      <c r="BD35" s="18"/>
      <c r="BE35" s="18" t="str">
        <f t="shared" si="2"/>
        <v/>
      </c>
      <c r="BF35" s="18" t="str">
        <f t="shared" si="3"/>
        <v/>
      </c>
      <c r="BG35" s="18"/>
      <c r="BH35" s="18" t="str">
        <f t="shared" si="4"/>
        <v/>
      </c>
      <c r="BI35" s="18" t="str">
        <f t="shared" si="5"/>
        <v/>
      </c>
      <c r="BJ35" s="18"/>
    </row>
    <row r="36" spans="1:62" ht="8.25" customHeight="1">
      <c r="A36" s="1"/>
      <c r="B36" s="2"/>
      <c r="C36" s="3"/>
      <c r="D36" s="65"/>
      <c r="E36" s="64"/>
      <c r="F36" s="4"/>
      <c r="G36" s="5"/>
      <c r="H36" s="6"/>
      <c r="I36" s="7"/>
      <c r="J36" s="7"/>
      <c r="K36" s="6"/>
      <c r="L36" s="7"/>
      <c r="M36" s="95"/>
      <c r="N36" s="127"/>
      <c r="O36" s="127"/>
      <c r="P36" s="2"/>
      <c r="Q36" s="56"/>
      <c r="R36" s="9"/>
      <c r="S36" s="10"/>
      <c r="T36" s="11"/>
      <c r="U36" s="12"/>
      <c r="V36" s="12"/>
      <c r="W36" s="12"/>
      <c r="X36" s="12"/>
      <c r="Y36" s="2"/>
      <c r="Z36" s="2"/>
      <c r="AA36" s="2"/>
      <c r="AB36" s="2"/>
      <c r="AC36" s="59"/>
      <c r="AD36" s="62"/>
      <c r="AE36" s="2"/>
      <c r="AF36" s="2"/>
      <c r="AG36" s="2"/>
      <c r="AH36" s="2"/>
      <c r="AI36" s="2"/>
      <c r="AJ36" s="12"/>
      <c r="AK36" s="12"/>
      <c r="AL36" s="12"/>
      <c r="AM36" s="13"/>
      <c r="AN36" s="11"/>
      <c r="AO36" s="12"/>
      <c r="AP36" s="4"/>
      <c r="AQ36" s="14"/>
      <c r="AR36" s="2"/>
      <c r="AS36" s="16"/>
      <c r="AT36" s="16"/>
      <c r="AU36" s="16"/>
      <c r="AV36" s="67"/>
      <c r="AW36" s="51"/>
      <c r="AX36" s="18"/>
      <c r="AY36" s="18" t="str">
        <f t="shared" si="0"/>
        <v/>
      </c>
      <c r="AZ36" s="18" t="str">
        <f t="shared" si="1"/>
        <v/>
      </c>
      <c r="BA36" s="18"/>
      <c r="BB36" s="18"/>
      <c r="BC36" s="18"/>
      <c r="BD36" s="18"/>
      <c r="BE36" s="18" t="str">
        <f t="shared" si="2"/>
        <v/>
      </c>
      <c r="BF36" s="18" t="str">
        <f t="shared" si="3"/>
        <v/>
      </c>
      <c r="BG36" s="18"/>
      <c r="BH36" s="18" t="str">
        <f t="shared" si="4"/>
        <v/>
      </c>
      <c r="BI36" s="18" t="str">
        <f t="shared" si="5"/>
        <v/>
      </c>
      <c r="BJ36" s="18"/>
    </row>
    <row r="37" spans="1:62" ht="8.25" customHeight="1">
      <c r="A37" s="1"/>
      <c r="B37" s="2"/>
      <c r="C37" s="3"/>
      <c r="D37" s="65"/>
      <c r="E37" s="64"/>
      <c r="F37" s="4"/>
      <c r="G37" s="5"/>
      <c r="H37" s="6"/>
      <c r="I37" s="7"/>
      <c r="J37" s="7"/>
      <c r="K37" s="6"/>
      <c r="L37" s="7"/>
      <c r="M37" s="95"/>
      <c r="N37" s="127"/>
      <c r="O37" s="127"/>
      <c r="P37" s="2"/>
      <c r="Q37" s="56"/>
      <c r="R37" s="9"/>
      <c r="S37" s="10"/>
      <c r="T37" s="11"/>
      <c r="U37" s="12"/>
      <c r="V37" s="12"/>
      <c r="W37" s="12"/>
      <c r="X37" s="12"/>
      <c r="Y37" s="2"/>
      <c r="Z37" s="2"/>
      <c r="AA37" s="2"/>
      <c r="AB37" s="2"/>
      <c r="AC37" s="59"/>
      <c r="AD37" s="62"/>
      <c r="AE37" s="2"/>
      <c r="AF37" s="2"/>
      <c r="AG37" s="2"/>
      <c r="AH37" s="2"/>
      <c r="AI37" s="2"/>
      <c r="AJ37" s="12"/>
      <c r="AK37" s="12"/>
      <c r="AL37" s="12"/>
      <c r="AM37" s="13"/>
      <c r="AN37" s="11"/>
      <c r="AO37" s="12"/>
      <c r="AP37" s="4"/>
      <c r="AQ37" s="14"/>
      <c r="AR37" s="2"/>
      <c r="AS37" s="15"/>
      <c r="AT37" s="16"/>
      <c r="AU37" s="15"/>
      <c r="AV37" s="66"/>
      <c r="AW37" s="17"/>
      <c r="AX37" s="18"/>
      <c r="AY37" s="18" t="str">
        <f t="shared" si="0"/>
        <v/>
      </c>
      <c r="AZ37" s="18" t="str">
        <f t="shared" si="1"/>
        <v/>
      </c>
      <c r="BA37" s="18"/>
      <c r="BB37" s="18"/>
      <c r="BC37" s="18"/>
      <c r="BD37" s="18"/>
      <c r="BE37" s="18" t="str">
        <f t="shared" si="2"/>
        <v/>
      </c>
      <c r="BF37" s="18" t="str">
        <f t="shared" si="3"/>
        <v/>
      </c>
      <c r="BG37" s="18"/>
      <c r="BH37" s="18" t="str">
        <f t="shared" si="4"/>
        <v/>
      </c>
      <c r="BI37" s="18" t="str">
        <f t="shared" si="5"/>
        <v/>
      </c>
      <c r="BJ37" s="18"/>
    </row>
    <row r="38" spans="1:62" ht="8.25" customHeight="1">
      <c r="A38" s="1"/>
      <c r="B38" s="2"/>
      <c r="C38" s="3"/>
      <c r="D38" s="65"/>
      <c r="E38" s="64"/>
      <c r="F38" s="4"/>
      <c r="G38" s="5"/>
      <c r="H38" s="6"/>
      <c r="I38" s="7"/>
      <c r="J38" s="7"/>
      <c r="K38" s="6"/>
      <c r="L38" s="7"/>
      <c r="M38" s="95"/>
      <c r="N38" s="127"/>
      <c r="O38" s="127"/>
      <c r="P38" s="2"/>
      <c r="Q38" s="56"/>
      <c r="R38" s="9"/>
      <c r="S38" s="10"/>
      <c r="T38" s="11"/>
      <c r="U38" s="12"/>
      <c r="V38" s="12"/>
      <c r="W38" s="12"/>
      <c r="X38" s="12"/>
      <c r="Y38" s="2"/>
      <c r="Z38" s="2"/>
      <c r="AA38" s="2"/>
      <c r="AB38" s="2"/>
      <c r="AC38" s="59"/>
      <c r="AD38" s="62"/>
      <c r="AE38" s="2"/>
      <c r="AF38" s="2"/>
      <c r="AG38" s="2"/>
      <c r="AH38" s="2"/>
      <c r="AI38" s="2"/>
      <c r="AJ38" s="12"/>
      <c r="AK38" s="12"/>
      <c r="AL38" s="12"/>
      <c r="AM38" s="13"/>
      <c r="AN38" s="11"/>
      <c r="AO38" s="12"/>
      <c r="AP38" s="4"/>
      <c r="AQ38" s="14"/>
      <c r="AR38" s="2"/>
      <c r="AS38" s="15"/>
      <c r="AT38" s="16"/>
      <c r="AU38" s="15"/>
      <c r="AV38" s="66"/>
      <c r="AW38" s="17"/>
      <c r="AX38" s="18"/>
      <c r="AY38" s="18" t="str">
        <f t="shared" si="0"/>
        <v/>
      </c>
      <c r="AZ38" s="18" t="str">
        <f t="shared" si="1"/>
        <v/>
      </c>
      <c r="BA38" s="18"/>
      <c r="BB38" s="18"/>
      <c r="BC38" s="18"/>
      <c r="BD38" s="18"/>
      <c r="BE38" s="18" t="str">
        <f t="shared" si="2"/>
        <v/>
      </c>
      <c r="BF38" s="18" t="str">
        <f t="shared" si="3"/>
        <v/>
      </c>
      <c r="BG38" s="18"/>
      <c r="BH38" s="18" t="str">
        <f t="shared" si="4"/>
        <v/>
      </c>
      <c r="BI38" s="18" t="str">
        <f t="shared" si="5"/>
        <v/>
      </c>
      <c r="BJ38" s="18"/>
    </row>
    <row r="39" spans="1:62" ht="8.25" customHeight="1">
      <c r="A39" s="1"/>
      <c r="B39" s="2"/>
      <c r="C39" s="3"/>
      <c r="D39" s="65"/>
      <c r="E39" s="64"/>
      <c r="F39" s="4"/>
      <c r="G39" s="5"/>
      <c r="H39" s="6"/>
      <c r="I39" s="7"/>
      <c r="J39" s="7"/>
      <c r="K39" s="6"/>
      <c r="L39" s="7"/>
      <c r="M39" s="95"/>
      <c r="N39" s="127"/>
      <c r="O39" s="127"/>
      <c r="P39" s="2"/>
      <c r="Q39" s="56"/>
      <c r="R39" s="9"/>
      <c r="S39" s="10"/>
      <c r="T39" s="11"/>
      <c r="U39" s="12"/>
      <c r="V39" s="12"/>
      <c r="W39" s="12"/>
      <c r="X39" s="12"/>
      <c r="Y39" s="2"/>
      <c r="Z39" s="2"/>
      <c r="AA39" s="2"/>
      <c r="AB39" s="2"/>
      <c r="AC39" s="59"/>
      <c r="AD39" s="62"/>
      <c r="AE39" s="2"/>
      <c r="AF39" s="2"/>
      <c r="AG39" s="2"/>
      <c r="AH39" s="2"/>
      <c r="AI39" s="2"/>
      <c r="AJ39" s="12"/>
      <c r="AK39" s="12"/>
      <c r="AL39" s="12"/>
      <c r="AM39" s="13"/>
      <c r="AN39" s="11"/>
      <c r="AO39" s="12"/>
      <c r="AP39" s="4"/>
      <c r="AQ39" s="14"/>
      <c r="AR39" s="2"/>
      <c r="AS39" s="15"/>
      <c r="AT39" s="16"/>
      <c r="AU39" s="15"/>
      <c r="AV39" s="66"/>
      <c r="AW39" s="17"/>
      <c r="AX39" s="18"/>
      <c r="AY39" s="18" t="str">
        <f t="shared" si="0"/>
        <v/>
      </c>
      <c r="AZ39" s="18" t="str">
        <f t="shared" si="1"/>
        <v/>
      </c>
      <c r="BA39" s="18"/>
      <c r="BB39" s="18"/>
      <c r="BC39" s="18"/>
      <c r="BD39" s="18"/>
      <c r="BE39" s="18" t="str">
        <f t="shared" si="2"/>
        <v/>
      </c>
      <c r="BF39" s="18" t="str">
        <f t="shared" si="3"/>
        <v/>
      </c>
      <c r="BG39" s="18"/>
      <c r="BH39" s="18" t="str">
        <f t="shared" si="4"/>
        <v/>
      </c>
      <c r="BI39" s="18" t="str">
        <f t="shared" si="5"/>
        <v/>
      </c>
      <c r="BJ39" s="18"/>
    </row>
    <row r="40" spans="1:62" ht="8.25" customHeight="1" thickBot="1">
      <c r="A40" s="31"/>
      <c r="B40" s="32"/>
      <c r="C40" s="33"/>
      <c r="D40" s="35"/>
      <c r="E40" s="36"/>
      <c r="F40" s="35"/>
      <c r="G40" s="36"/>
      <c r="H40" s="32"/>
      <c r="I40" s="37"/>
      <c r="J40" s="37"/>
      <c r="K40" s="32"/>
      <c r="L40" s="37"/>
      <c r="M40" s="37"/>
      <c r="N40" s="128"/>
      <c r="O40" s="128"/>
      <c r="P40" s="32"/>
      <c r="Q40" s="57"/>
      <c r="R40" s="41"/>
      <c r="S40" s="42"/>
      <c r="T40" s="43"/>
      <c r="U40" s="39"/>
      <c r="V40" s="39"/>
      <c r="W40" s="39"/>
      <c r="X40" s="39"/>
      <c r="Y40" s="39"/>
      <c r="Z40" s="39"/>
      <c r="AA40" s="39"/>
      <c r="AB40" s="39"/>
      <c r="AC40" s="60"/>
      <c r="AD40" s="63"/>
      <c r="AE40" s="39"/>
      <c r="AF40" s="39"/>
      <c r="AG40" s="39"/>
      <c r="AH40" s="39"/>
      <c r="AI40" s="39"/>
      <c r="AJ40" s="39"/>
      <c r="AK40" s="39"/>
      <c r="AL40" s="39"/>
      <c r="AM40" s="40"/>
      <c r="AN40" s="43"/>
      <c r="AO40" s="39"/>
      <c r="AP40" s="35"/>
      <c r="AQ40" s="43"/>
      <c r="AR40" s="37"/>
      <c r="AS40" s="37"/>
      <c r="AT40" s="32"/>
      <c r="AU40" s="37"/>
      <c r="AV40" s="38"/>
      <c r="AW40" s="44"/>
      <c r="AX40" s="18"/>
      <c r="AY40" s="18" t="str">
        <f t="shared" si="0"/>
        <v/>
      </c>
      <c r="AZ40" s="18" t="str">
        <f t="shared" si="1"/>
        <v/>
      </c>
      <c r="BA40" s="18"/>
      <c r="BB40" s="18"/>
      <c r="BC40" s="18"/>
      <c r="BD40" s="18"/>
      <c r="BE40" s="18" t="str">
        <f t="shared" si="2"/>
        <v/>
      </c>
      <c r="BF40" s="18" t="str">
        <f t="shared" si="3"/>
        <v/>
      </c>
      <c r="BG40" s="18"/>
      <c r="BH40" s="18" t="str">
        <f t="shared" si="4"/>
        <v/>
      </c>
      <c r="BI40" s="18" t="str">
        <f t="shared" si="5"/>
        <v/>
      </c>
      <c r="BJ40" s="18"/>
    </row>
    <row r="41" spans="1:62" ht="9" customHeight="1" thickBot="1">
      <c r="A41" s="74"/>
      <c r="B41" s="74"/>
      <c r="C41" s="18"/>
      <c r="D41" s="18"/>
      <c r="E41" s="74"/>
      <c r="F41" s="74"/>
      <c r="G41" s="18"/>
      <c r="H41" s="18"/>
      <c r="I41" s="18"/>
      <c r="J41" s="74"/>
      <c r="K41" s="75"/>
      <c r="L41" s="74"/>
      <c r="M41" s="337"/>
      <c r="N41" s="332"/>
      <c r="O41" s="332"/>
      <c r="P41" s="74"/>
      <c r="Q41" s="74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1:62" ht="8.25" customHeight="1">
      <c r="A42" s="74"/>
      <c r="B42" s="74"/>
      <c r="C42" s="74"/>
      <c r="D42" s="74"/>
      <c r="E42" s="74"/>
      <c r="F42" s="74"/>
      <c r="G42" s="18"/>
      <c r="H42" s="18"/>
      <c r="I42" s="18"/>
      <c r="J42" s="74"/>
      <c r="K42" s="75"/>
      <c r="L42" s="74"/>
      <c r="M42" s="337"/>
      <c r="N42" s="332"/>
      <c r="O42" s="332"/>
      <c r="P42" s="74"/>
      <c r="Q42" s="74"/>
      <c r="R42" s="18"/>
      <c r="S42" s="111" t="s">
        <v>59</v>
      </c>
      <c r="T42" s="86">
        <f>AVERAGE(T$5:T40)</f>
        <v>0</v>
      </c>
      <c r="U42" s="86">
        <f>AVERAGE(U$5:U40)</f>
        <v>0</v>
      </c>
      <c r="V42" s="86">
        <f>AVERAGE(V$5:V40)</f>
        <v>0</v>
      </c>
      <c r="W42" s="86">
        <f>AVERAGE(W$5:W40)</f>
        <v>0</v>
      </c>
      <c r="X42" s="86">
        <f>AVERAGE(X$5:X40)</f>
        <v>0</v>
      </c>
      <c r="Y42" s="86">
        <f>AVERAGE(Y$5:Y40)</f>
        <v>0</v>
      </c>
      <c r="Z42" s="86">
        <f>AVERAGE(Z$5:Z40)</f>
        <v>0</v>
      </c>
      <c r="AA42" s="86">
        <f>AVERAGE(AA$5:AA40)</f>
        <v>0</v>
      </c>
      <c r="AB42" s="86" t="e">
        <f>AVERAGE(AB$9:AB40)</f>
        <v>#DIV/0!</v>
      </c>
      <c r="AC42" s="86" t="e">
        <f>AVERAGE(AC$9:AC40)</f>
        <v>#DIV/0!</v>
      </c>
      <c r="AD42" s="86">
        <f>AVERAGE(AD$5:AD40)</f>
        <v>0</v>
      </c>
      <c r="AE42" s="86">
        <f>AVERAGE(AE$5:AE40)</f>
        <v>0</v>
      </c>
      <c r="AF42" s="86">
        <f>AVERAGE(AF$5:AF40)</f>
        <v>0</v>
      </c>
      <c r="AG42" s="86">
        <f>AVERAGE(AG$5:AG40)</f>
        <v>0</v>
      </c>
      <c r="AH42" s="86">
        <f>AVERAGE(AH$5:AH40)</f>
        <v>0</v>
      </c>
      <c r="AI42" s="86">
        <f>AVERAGE(AI$5:AI40)</f>
        <v>0</v>
      </c>
      <c r="AJ42" s="86">
        <f>AVERAGE(AJ$5:AJ40)</f>
        <v>0</v>
      </c>
      <c r="AK42" s="87">
        <f>AVERAGE(AK$5:AK40)</f>
        <v>0</v>
      </c>
      <c r="AL42" s="83" t="e">
        <f>AVERAGE(AL$9:AL40)</f>
        <v>#DIV/0!</v>
      </c>
      <c r="AM42" s="46" t="e">
        <f>AVERAGE(AM$9:AM40)</f>
        <v>#DIV/0!</v>
      </c>
      <c r="AN42" s="72"/>
      <c r="AO42" s="18"/>
      <c r="AP42" s="18"/>
      <c r="AQ42" s="47" t="s">
        <v>60</v>
      </c>
      <c r="AR42" s="45" t="s">
        <v>61</v>
      </c>
      <c r="AS42" s="45" t="s">
        <v>62</v>
      </c>
      <c r="AT42" s="46" t="s">
        <v>41</v>
      </c>
      <c r="AU42" s="18"/>
      <c r="AV42" s="18"/>
      <c r="AW42" s="18"/>
      <c r="AX42" s="18"/>
      <c r="AY42" s="76">
        <f t="shared" ref="AY42:BJ42" si="6">SUM(AY5:AY40)</f>
        <v>66000</v>
      </c>
      <c r="AZ42" s="76">
        <f t="shared" si="6"/>
        <v>66</v>
      </c>
      <c r="BA42" s="76">
        <f t="shared" si="6"/>
        <v>0</v>
      </c>
      <c r="BB42" s="76">
        <f t="shared" si="6"/>
        <v>0</v>
      </c>
      <c r="BC42" s="76">
        <f t="shared" si="6"/>
        <v>0</v>
      </c>
      <c r="BD42" s="76">
        <f t="shared" si="6"/>
        <v>0</v>
      </c>
      <c r="BE42" s="76">
        <f t="shared" si="6"/>
        <v>22000</v>
      </c>
      <c r="BF42" s="76">
        <f t="shared" si="6"/>
        <v>22</v>
      </c>
      <c r="BG42" s="76">
        <f t="shared" si="6"/>
        <v>0</v>
      </c>
      <c r="BH42" s="76">
        <f t="shared" si="6"/>
        <v>2112</v>
      </c>
      <c r="BI42" s="76">
        <f t="shared" si="6"/>
        <v>22</v>
      </c>
      <c r="BJ42" s="76">
        <f t="shared" si="6"/>
        <v>0</v>
      </c>
    </row>
    <row r="43" spans="1:62" ht="8.25" customHeight="1">
      <c r="A43" s="74"/>
      <c r="B43" s="74"/>
      <c r="C43" s="74"/>
      <c r="D43" s="74"/>
      <c r="E43" s="74"/>
      <c r="F43" s="74"/>
      <c r="G43" s="18"/>
      <c r="H43" s="18"/>
      <c r="I43" s="18"/>
      <c r="J43" s="74"/>
      <c r="K43" s="75"/>
      <c r="L43" s="74"/>
      <c r="M43" s="337"/>
      <c r="N43" s="332"/>
      <c r="O43" s="332"/>
      <c r="P43" s="74"/>
      <c r="Q43" s="74"/>
      <c r="R43" s="18"/>
      <c r="S43" s="112" t="s">
        <v>63</v>
      </c>
      <c r="T43" s="2">
        <f>MIN(T$5:T40)</f>
        <v>0</v>
      </c>
      <c r="U43" s="2">
        <f>MIN(U$5:U40)</f>
        <v>0</v>
      </c>
      <c r="V43" s="2">
        <f>MIN(V$5:V40)</f>
        <v>0</v>
      </c>
      <c r="W43" s="2">
        <f>MIN(W$5:W40)</f>
        <v>0</v>
      </c>
      <c r="X43" s="2">
        <f>MIN(X$5:X40)</f>
        <v>0</v>
      </c>
      <c r="Y43" s="2">
        <f>MIN(Y$5:Y40)</f>
        <v>0</v>
      </c>
      <c r="Z43" s="2">
        <f>MIN(Z$5:Z40)</f>
        <v>0</v>
      </c>
      <c r="AA43" s="2">
        <f>MIN(AA$5:AA40)</f>
        <v>0</v>
      </c>
      <c r="AB43" s="2">
        <f>MIN(AB$9:AB40)</f>
        <v>0</v>
      </c>
      <c r="AC43" s="2">
        <f>MIN(AC$9:AC40)</f>
        <v>0</v>
      </c>
      <c r="AD43" s="2">
        <f>MIN(AD$5:AD40)</f>
        <v>0</v>
      </c>
      <c r="AE43" s="2">
        <f>MIN(AE$5:AE40)</f>
        <v>0</v>
      </c>
      <c r="AF43" s="2">
        <f>MIN(AF$5:AF40)</f>
        <v>0</v>
      </c>
      <c r="AG43" s="2">
        <f>MIN(AG$5:AG40)</f>
        <v>0</v>
      </c>
      <c r="AH43" s="2">
        <f>MIN(AH$5:AH40)</f>
        <v>0</v>
      </c>
      <c r="AI43" s="2">
        <f>MIN(AI$5:AI40)</f>
        <v>0</v>
      </c>
      <c r="AJ43" s="2">
        <f>MIN(AJ$5:AJ40)</f>
        <v>0</v>
      </c>
      <c r="AK43" s="88">
        <f>MIN(AK$5:AK40)</f>
        <v>0</v>
      </c>
      <c r="AL43" s="84">
        <f>MIN(AL$9:AL40)</f>
        <v>0</v>
      </c>
      <c r="AM43" s="29">
        <f>MIN(AM$9:AM40)</f>
        <v>0</v>
      </c>
      <c r="AN43" s="72"/>
      <c r="AO43" s="18"/>
      <c r="AP43" s="18"/>
      <c r="AQ43" s="48" t="s">
        <v>64</v>
      </c>
      <c r="AR43" s="2" t="s">
        <v>65</v>
      </c>
      <c r="AS43" s="2">
        <f>SUM(AO5:AO40)</f>
        <v>110</v>
      </c>
      <c r="AT43" s="29">
        <f>SUM(AN9:AN40)</f>
        <v>0</v>
      </c>
      <c r="AU43" s="18"/>
      <c r="AV43" s="18"/>
      <c r="AW43" s="18"/>
      <c r="AX43" s="18"/>
      <c r="AY43" s="77" t="s">
        <v>45</v>
      </c>
      <c r="AZ43" s="77" t="s">
        <v>46</v>
      </c>
      <c r="BA43" s="77" t="s">
        <v>47</v>
      </c>
      <c r="BB43" s="77" t="s">
        <v>48</v>
      </c>
      <c r="BC43" s="77" t="s">
        <v>49</v>
      </c>
      <c r="BD43" s="77" t="s">
        <v>50</v>
      </c>
      <c r="BE43" s="77" t="s">
        <v>51</v>
      </c>
      <c r="BF43" s="77" t="s">
        <v>52</v>
      </c>
      <c r="BG43" s="77" t="s">
        <v>53</v>
      </c>
      <c r="BH43" s="77" t="s">
        <v>54</v>
      </c>
      <c r="BI43" s="77" t="s">
        <v>55</v>
      </c>
      <c r="BJ43" s="77" t="s">
        <v>56</v>
      </c>
    </row>
    <row r="44" spans="1:62" ht="8.25" customHeight="1">
      <c r="A44" s="74"/>
      <c r="B44" s="74"/>
      <c r="C44" s="74"/>
      <c r="D44" s="74"/>
      <c r="E44" s="74"/>
      <c r="F44" s="74"/>
      <c r="G44" s="18"/>
      <c r="H44" s="18"/>
      <c r="I44" s="18"/>
      <c r="J44" s="74"/>
      <c r="K44" s="75"/>
      <c r="L44" s="74"/>
      <c r="M44" s="337"/>
      <c r="N44" s="332"/>
      <c r="O44" s="332"/>
      <c r="P44" s="74"/>
      <c r="Q44" s="74"/>
      <c r="R44" s="18"/>
      <c r="S44" s="112" t="s">
        <v>146</v>
      </c>
      <c r="T44" s="2">
        <f>MAX(T$5:T40)</f>
        <v>0</v>
      </c>
      <c r="U44" s="2">
        <f>MAX(U$5:U40)</f>
        <v>0</v>
      </c>
      <c r="V44" s="2">
        <f>MAX(V$5:V40)</f>
        <v>0</v>
      </c>
      <c r="W44" s="2">
        <f>MAX(W$5:W40)</f>
        <v>0</v>
      </c>
      <c r="X44" s="2">
        <f>MAX(X$5:X40)</f>
        <v>0</v>
      </c>
      <c r="Y44" s="2">
        <f>MAX(Y$5:Y40)</f>
        <v>0</v>
      </c>
      <c r="Z44" s="2">
        <f>MAX(Z$5:Z40)</f>
        <v>0</v>
      </c>
      <c r="AA44" s="2">
        <f>MAX(AA$5:AA40)</f>
        <v>0</v>
      </c>
      <c r="AB44" s="2">
        <f>MAX(AB$9:AB40)</f>
        <v>0</v>
      </c>
      <c r="AC44" s="2">
        <f>MAX(AC$9:AC40)</f>
        <v>0</v>
      </c>
      <c r="AD44" s="2">
        <f>MAX(AD$5:AD40)</f>
        <v>0</v>
      </c>
      <c r="AE44" s="2">
        <f>MAX(AE$5:AE40)</f>
        <v>0</v>
      </c>
      <c r="AF44" s="2">
        <f>MAX(AF$5:AF40)</f>
        <v>0</v>
      </c>
      <c r="AG44" s="2">
        <f>MAX(AG$5:AG40)</f>
        <v>0</v>
      </c>
      <c r="AH44" s="2">
        <f>MAX(AH$5:AH40)</f>
        <v>0</v>
      </c>
      <c r="AI44" s="2">
        <f>MAX(AI$5:AI40)</f>
        <v>0</v>
      </c>
      <c r="AJ44" s="2">
        <f>MAX(AJ$5:AJ40)</f>
        <v>0</v>
      </c>
      <c r="AK44" s="88">
        <f>MAX(AK$5:AK40)</f>
        <v>0</v>
      </c>
      <c r="AL44" s="84">
        <f>MAX(AL$9:AL40)</f>
        <v>0</v>
      </c>
      <c r="AM44" s="29">
        <f>MAX(AM$9:AM40)</f>
        <v>0</v>
      </c>
      <c r="AN44" s="72"/>
      <c r="AO44" s="18"/>
      <c r="AP44" s="18"/>
      <c r="AQ44" s="48" t="s">
        <v>46</v>
      </c>
      <c r="AR44" s="2">
        <f>AY42</f>
        <v>66000</v>
      </c>
      <c r="AS44" s="2">
        <f>AZ42</f>
        <v>66</v>
      </c>
      <c r="AT44" s="29">
        <f>BA42</f>
        <v>0</v>
      </c>
      <c r="AU44" s="18"/>
      <c r="AV44" s="18"/>
      <c r="AW44" s="18"/>
      <c r="AX44" s="18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</row>
    <row r="45" spans="1:62" ht="8.25" customHeight="1">
      <c r="A45" s="74"/>
      <c r="B45" s="74"/>
      <c r="C45" s="74"/>
      <c r="D45" s="74"/>
      <c r="E45" s="74"/>
      <c r="F45" s="74"/>
      <c r="G45" s="18"/>
      <c r="H45" s="18"/>
      <c r="I45" s="18"/>
      <c r="J45" s="74"/>
      <c r="K45" s="75"/>
      <c r="L45" s="74"/>
      <c r="M45" s="18"/>
      <c r="N45" s="18"/>
      <c r="O45" s="18"/>
      <c r="P45" s="74"/>
      <c r="Q45" s="74"/>
      <c r="R45" s="18"/>
      <c r="S45" s="112" t="s">
        <v>66</v>
      </c>
      <c r="T45" s="2">
        <f>STDEV(T$5:T40)</f>
        <v>0</v>
      </c>
      <c r="U45" s="2">
        <f>STDEV(U$5:U40)</f>
        <v>0</v>
      </c>
      <c r="V45" s="2">
        <f>STDEV(V$5:V40)</f>
        <v>0</v>
      </c>
      <c r="W45" s="2">
        <f>STDEV(W$5:W40)</f>
        <v>0</v>
      </c>
      <c r="X45" s="2">
        <f>STDEV(X$5:X40)</f>
        <v>0</v>
      </c>
      <c r="Y45" s="2">
        <f>STDEV(Y$5:Y40)</f>
        <v>0</v>
      </c>
      <c r="Z45" s="2">
        <f>STDEV(Z$5:Z40)</f>
        <v>0</v>
      </c>
      <c r="AA45" s="2">
        <f>STDEV(AA$5:AA40)</f>
        <v>0</v>
      </c>
      <c r="AB45" s="2" t="e">
        <f>STDEV(AB$9:AB40)</f>
        <v>#DIV/0!</v>
      </c>
      <c r="AC45" s="2" t="e">
        <f>STDEV(AC$9:AC40)</f>
        <v>#DIV/0!</v>
      </c>
      <c r="AD45" s="2">
        <f>STDEV(AD$5:AD40)</f>
        <v>0</v>
      </c>
      <c r="AE45" s="2">
        <f>STDEV(AE$5:AE40)</f>
        <v>0</v>
      </c>
      <c r="AF45" s="2">
        <f>STDEV(AF$5:AF40)</f>
        <v>0</v>
      </c>
      <c r="AG45" s="2">
        <f>STDEV(AG$5:AG40)</f>
        <v>0</v>
      </c>
      <c r="AH45" s="2">
        <f>STDEV(AH$5:AH40)</f>
        <v>0</v>
      </c>
      <c r="AI45" s="2">
        <f>STDEV(AI$5:AI40)</f>
        <v>0</v>
      </c>
      <c r="AJ45" s="2">
        <f>STDEV(AJ$5:AJ40)</f>
        <v>0</v>
      </c>
      <c r="AK45" s="88">
        <f>STDEV(AK$5:AK40)</f>
        <v>0</v>
      </c>
      <c r="AL45" s="84" t="e">
        <f>STDEV(AL$9:AL40)</f>
        <v>#DIV/0!</v>
      </c>
      <c r="AM45" s="29" t="e">
        <f>STDEV(AM$9:AM40)</f>
        <v>#DIV/0!</v>
      </c>
      <c r="AN45" s="72"/>
      <c r="AO45" s="18"/>
      <c r="AP45" s="18"/>
      <c r="AQ45" s="48" t="s">
        <v>49</v>
      </c>
      <c r="AR45" s="2">
        <f>BB42</f>
        <v>0</v>
      </c>
      <c r="AS45" s="2">
        <f>BC42</f>
        <v>0</v>
      </c>
      <c r="AT45" s="29">
        <f>BD42</f>
        <v>0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</row>
    <row r="46" spans="1:62" ht="9" customHeight="1" thickBot="1">
      <c r="A46" s="74"/>
      <c r="B46" s="74"/>
      <c r="C46" s="74"/>
      <c r="D46" s="74"/>
      <c r="E46" s="74"/>
      <c r="F46" s="74"/>
      <c r="G46" s="18"/>
      <c r="H46" s="18"/>
      <c r="I46" s="18"/>
      <c r="J46" s="74"/>
      <c r="K46" s="75"/>
      <c r="L46" s="74"/>
      <c r="M46" s="18"/>
      <c r="N46" s="18"/>
      <c r="O46" s="18"/>
      <c r="P46" s="74"/>
      <c r="Q46" s="74"/>
      <c r="R46" s="18"/>
      <c r="S46" s="113" t="s">
        <v>67</v>
      </c>
      <c r="T46" s="89">
        <f t="shared" ref="T46" si="7">IF(T42+(3*T45)&gt;100,100,T42+(3*T45))</f>
        <v>0</v>
      </c>
      <c r="U46" s="89">
        <f t="shared" ref="U46:AA46" si="8">IF(U42+(3*U45)&gt;100,100,U42+(3*U45))</f>
        <v>0</v>
      </c>
      <c r="V46" s="89">
        <f t="shared" si="8"/>
        <v>0</v>
      </c>
      <c r="W46" s="89">
        <f t="shared" si="8"/>
        <v>0</v>
      </c>
      <c r="X46" s="89">
        <f t="shared" si="8"/>
        <v>0</v>
      </c>
      <c r="Y46" s="89">
        <f t="shared" si="8"/>
        <v>0</v>
      </c>
      <c r="Z46" s="89">
        <f t="shared" si="8"/>
        <v>0</v>
      </c>
      <c r="AA46" s="89">
        <f t="shared" si="8"/>
        <v>0</v>
      </c>
      <c r="AB46" s="89" t="e">
        <f t="shared" ref="AB46:AK46" si="9">IF(AB42+(3*AB45)&gt;100,100,AB42+(3*AB45))</f>
        <v>#DIV/0!</v>
      </c>
      <c r="AC46" s="89" t="e">
        <f t="shared" si="9"/>
        <v>#DIV/0!</v>
      </c>
      <c r="AD46" s="89">
        <f t="shared" si="9"/>
        <v>0</v>
      </c>
      <c r="AE46" s="89">
        <f t="shared" si="9"/>
        <v>0</v>
      </c>
      <c r="AF46" s="89">
        <f t="shared" si="9"/>
        <v>0</v>
      </c>
      <c r="AG46" s="89">
        <f t="shared" si="9"/>
        <v>0</v>
      </c>
      <c r="AH46" s="89">
        <f t="shared" si="9"/>
        <v>0</v>
      </c>
      <c r="AI46" s="89">
        <f t="shared" si="9"/>
        <v>0</v>
      </c>
      <c r="AJ46" s="89">
        <f t="shared" si="9"/>
        <v>0</v>
      </c>
      <c r="AK46" s="90">
        <f t="shared" si="9"/>
        <v>0</v>
      </c>
      <c r="AL46" s="85" t="e">
        <f>IF(AL42+(3*AL45)&gt;100,100,AL42+(3*AL45))</f>
        <v>#DIV/0!</v>
      </c>
      <c r="AM46" s="49" t="e">
        <f>IF(AM42+(3*AM45)&gt;100,100,AM42+(3*AM45))</f>
        <v>#DIV/0!</v>
      </c>
      <c r="AN46" s="72"/>
      <c r="AO46" s="18"/>
      <c r="AP46" s="18"/>
      <c r="AQ46" s="48" t="s">
        <v>52</v>
      </c>
      <c r="AR46" s="2">
        <f>BE42</f>
        <v>22000</v>
      </c>
      <c r="AS46" s="2">
        <f>BF42</f>
        <v>22</v>
      </c>
      <c r="AT46" s="29">
        <f>BG42</f>
        <v>0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</row>
    <row r="47" spans="1:62" ht="9" customHeight="1" thickBot="1">
      <c r="A47" s="74"/>
      <c r="B47" s="74"/>
      <c r="C47" s="74"/>
      <c r="D47" s="74"/>
      <c r="E47" s="74"/>
      <c r="F47" s="74"/>
      <c r="G47" s="18"/>
      <c r="H47" s="18"/>
      <c r="I47" s="18"/>
      <c r="J47" s="74"/>
      <c r="K47" s="75"/>
      <c r="L47" s="74"/>
      <c r="M47" s="18"/>
      <c r="N47" s="18"/>
      <c r="O47" s="18"/>
      <c r="P47" s="74"/>
      <c r="Q47" s="74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72"/>
      <c r="AJ47" s="18"/>
      <c r="AK47" s="18"/>
      <c r="AL47" s="18"/>
      <c r="AM47" s="18"/>
      <c r="AN47" s="18"/>
      <c r="AO47" s="18"/>
      <c r="AP47" s="18"/>
      <c r="AQ47" s="50" t="s">
        <v>58</v>
      </c>
      <c r="AR47" s="32">
        <f>BH42</f>
        <v>2112</v>
      </c>
      <c r="AS47" s="32">
        <f>BI42</f>
        <v>22</v>
      </c>
      <c r="AT47" s="49">
        <f>BJ42</f>
        <v>0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 t="str">
        <f>IF(AND($AQ47="HAST",NOT(ISBLANK($AU47))),$AW47*$AS47,"")</f>
        <v/>
      </c>
      <c r="BI47" s="18" t="str">
        <f>IF(AND($AQ47="HAST",NOT(ISBLANK($AU47))),$AW47,"")</f>
        <v/>
      </c>
      <c r="BJ47" s="18" t="str">
        <f>IF(AND($AQ47="HAST",NOT(ISBLANK($AU47))),$AU47,"")</f>
        <v/>
      </c>
    </row>
    <row r="48" spans="1:62" ht="8.25" customHeight="1">
      <c r="S48" s="18" t="s">
        <v>69</v>
      </c>
      <c r="T48" s="73"/>
      <c r="U48" s="73"/>
    </row>
    <row r="49" spans="19:20" ht="8.25" customHeight="1">
      <c r="S49" s="249"/>
      <c r="T49" s="82" t="s">
        <v>70</v>
      </c>
    </row>
    <row r="50" spans="19:20" ht="8.25" customHeight="1">
      <c r="S50" s="249"/>
      <c r="T50" s="82" t="s">
        <v>71</v>
      </c>
    </row>
    <row r="51" spans="19:20" ht="8.25" customHeight="1">
      <c r="S51" s="249"/>
      <c r="T51" s="82" t="s">
        <v>72</v>
      </c>
    </row>
    <row r="52" spans="19:20" ht="8.25" customHeight="1">
      <c r="S52" s="249"/>
      <c r="T52" s="82" t="s">
        <v>73</v>
      </c>
    </row>
    <row r="53" spans="19:20" ht="8.25" customHeight="1">
      <c r="S53" s="249"/>
      <c r="T53" s="82" t="s">
        <v>74</v>
      </c>
    </row>
  </sheetData>
  <mergeCells count="39">
    <mergeCell ref="G1:Q2"/>
    <mergeCell ref="N3:N4"/>
    <mergeCell ref="O3:O4"/>
    <mergeCell ref="A1:D2"/>
    <mergeCell ref="D3:D4"/>
    <mergeCell ref="AD1:AM2"/>
    <mergeCell ref="AN1:AP2"/>
    <mergeCell ref="AQ1:AW2"/>
    <mergeCell ref="A3:A4"/>
    <mergeCell ref="B3:B4"/>
    <mergeCell ref="C3:C4"/>
    <mergeCell ref="E3:E4"/>
    <mergeCell ref="F3:F4"/>
    <mergeCell ref="G3:I3"/>
    <mergeCell ref="J3:L3"/>
    <mergeCell ref="E1:F2"/>
    <mergeCell ref="R1:R4"/>
    <mergeCell ref="S1:S4"/>
    <mergeCell ref="T1:AC2"/>
    <mergeCell ref="AQ3:AQ4"/>
    <mergeCell ref="AW3:AW4"/>
    <mergeCell ref="X3:Y3"/>
    <mergeCell ref="Z3:AA3"/>
    <mergeCell ref="AB3:AC3"/>
    <mergeCell ref="AD3:AE3"/>
    <mergeCell ref="AF3:AG3"/>
    <mergeCell ref="AH3:AI3"/>
    <mergeCell ref="AJ3:AK3"/>
    <mergeCell ref="AL3:AM3"/>
    <mergeCell ref="AO3:AO4"/>
    <mergeCell ref="AP3:AP4"/>
    <mergeCell ref="M42:O42"/>
    <mergeCell ref="M43:O43"/>
    <mergeCell ref="M44:O44"/>
    <mergeCell ref="M41:O41"/>
    <mergeCell ref="V3:W3"/>
    <mergeCell ref="P3:P4"/>
    <mergeCell ref="Q3:Q4"/>
    <mergeCell ref="T3:U3"/>
  </mergeCells>
  <conditionalFormatting sqref="AU5 AU12:AU39">
    <cfRule type="cellIs" dxfId="94" priority="3" stopIfTrue="1" operator="equal">
      <formula>"ONGOING"</formula>
    </cfRule>
  </conditionalFormatting>
  <conditionalFormatting sqref="AU6:AU11">
    <cfRule type="cellIs" dxfId="6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9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36"/>
  <sheetViews>
    <sheetView showGridLines="0" zoomScale="140" zoomScaleNormal="140" workbookViewId="0">
      <pane xSplit="6" ySplit="4" topLeftCell="Q5" activePane="bottomRight" state="frozen"/>
      <selection activeCell="L8" sqref="L8:N10"/>
      <selection pane="topRight" activeCell="L8" sqref="L8:N10"/>
      <selection pane="bottomLeft" activeCell="L8" sqref="L8:N10"/>
      <selection pane="bottomRight" activeCell="R40" sqref="R40"/>
    </sheetView>
  </sheetViews>
  <sheetFormatPr defaultColWidth="14.453125" defaultRowHeight="15" customHeight="1"/>
  <cols>
    <col min="1" max="1" width="5.26953125" style="30" customWidth="1"/>
    <col min="2" max="2" width="3.26953125" style="30" customWidth="1"/>
    <col min="3" max="3" width="6" style="30" customWidth="1"/>
    <col min="4" max="4" width="5.453125" style="30" customWidth="1"/>
    <col min="5" max="6" width="4" style="30" customWidth="1"/>
    <col min="7" max="7" width="5.26953125" style="30" customWidth="1"/>
    <col min="8" max="8" width="1.54296875" style="30" customWidth="1"/>
    <col min="9" max="9" width="5.26953125" style="30" customWidth="1"/>
    <col min="10" max="10" width="6" style="30" customWidth="1"/>
    <col min="11" max="11" width="5.7265625" style="30" customWidth="1"/>
    <col min="12" max="12" width="9.54296875" style="30" customWidth="1"/>
    <col min="13" max="13" width="4.453125" style="30" customWidth="1"/>
    <col min="14" max="14" width="4.26953125" style="30" customWidth="1"/>
    <col min="15" max="15" width="9.1796875" style="30" customWidth="1"/>
    <col min="16" max="16" width="6.81640625" style="30" customWidth="1"/>
    <col min="17" max="17" width="14.81640625" style="30" customWidth="1"/>
    <col min="18" max="18" width="11" style="30" customWidth="1"/>
    <col min="19" max="19" width="8.54296875" style="30" customWidth="1"/>
    <col min="20" max="27" width="2.7265625" style="30" customWidth="1"/>
    <col min="28" max="29" width="2.7265625" style="30" hidden="1" customWidth="1"/>
    <col min="30" max="37" width="2.7265625" style="30" customWidth="1"/>
    <col min="38" max="39" width="2.7265625" style="30" hidden="1" customWidth="1"/>
    <col min="40" max="41" width="2.7265625" style="30" customWidth="1"/>
    <col min="42" max="42" width="5.54296875" style="30" customWidth="1"/>
    <col min="43" max="43" width="5" style="30" customWidth="1"/>
    <col min="44" max="44" width="7.54296875" style="30" customWidth="1"/>
    <col min="45" max="46" width="4.54296875" style="30" customWidth="1"/>
    <col min="47" max="47" width="2.7265625" style="30" customWidth="1"/>
    <col min="48" max="48" width="9.453125" style="30" customWidth="1"/>
    <col min="49" max="49" width="3" style="30" customWidth="1"/>
    <col min="50" max="50" width="1.26953125" style="30" customWidth="1"/>
    <col min="51" max="51" width="6.54296875" style="30" customWidth="1"/>
    <col min="52" max="52" width="3.7265625" style="30" customWidth="1"/>
    <col min="53" max="53" width="5.54296875" style="30" customWidth="1"/>
    <col min="54" max="56" width="2.81640625" style="30" hidden="1" customWidth="1"/>
    <col min="57" max="57" width="6.54296875" style="30" customWidth="1"/>
    <col min="58" max="58" width="4.26953125" style="30" customWidth="1"/>
    <col min="59" max="59" width="5.7265625" style="30" customWidth="1"/>
    <col min="60" max="60" width="6.7265625" style="30" customWidth="1"/>
    <col min="61" max="61" width="4.26953125" style="30" customWidth="1"/>
    <col min="62" max="62" width="6" style="30" customWidth="1"/>
    <col min="63" max="72" width="9.1796875" style="30" customWidth="1"/>
    <col min="73" max="16384" width="14.453125" style="30"/>
  </cols>
  <sheetData>
    <row r="1" spans="1:62" ht="10.5" customHeight="1">
      <c r="A1" s="322" t="s">
        <v>0</v>
      </c>
      <c r="B1" s="353"/>
      <c r="C1" s="353"/>
      <c r="D1" s="354"/>
      <c r="E1" s="324" t="s">
        <v>1</v>
      </c>
      <c r="F1" s="361"/>
      <c r="G1" s="325" t="s">
        <v>2</v>
      </c>
      <c r="H1" s="385"/>
      <c r="I1" s="385"/>
      <c r="J1" s="385"/>
      <c r="K1" s="385"/>
      <c r="L1" s="385"/>
      <c r="M1" s="385"/>
      <c r="N1" s="385"/>
      <c r="O1" s="385"/>
      <c r="P1" s="385"/>
      <c r="Q1" s="386"/>
      <c r="R1" s="328" t="s">
        <v>3</v>
      </c>
      <c r="S1" s="331" t="s">
        <v>4</v>
      </c>
      <c r="T1" s="334" t="s">
        <v>5</v>
      </c>
      <c r="U1" s="360"/>
      <c r="V1" s="360"/>
      <c r="W1" s="360"/>
      <c r="X1" s="360"/>
      <c r="Y1" s="360"/>
      <c r="Z1" s="360"/>
      <c r="AA1" s="360"/>
      <c r="AB1" s="360"/>
      <c r="AC1" s="380"/>
      <c r="AD1" s="296" t="s">
        <v>6</v>
      </c>
      <c r="AE1" s="360"/>
      <c r="AF1" s="360"/>
      <c r="AG1" s="360"/>
      <c r="AH1" s="360"/>
      <c r="AI1" s="360"/>
      <c r="AJ1" s="360"/>
      <c r="AK1" s="360"/>
      <c r="AL1" s="360"/>
      <c r="AM1" s="361"/>
      <c r="AN1" s="302" t="s">
        <v>7</v>
      </c>
      <c r="AO1" s="360"/>
      <c r="AP1" s="365"/>
      <c r="AQ1" s="306" t="s">
        <v>8</v>
      </c>
      <c r="AR1" s="360"/>
      <c r="AS1" s="360"/>
      <c r="AT1" s="360"/>
      <c r="AU1" s="360"/>
      <c r="AV1" s="360"/>
      <c r="AW1" s="3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 spans="1:62" ht="10.5" customHeight="1">
      <c r="A2" s="355"/>
      <c r="B2" s="356"/>
      <c r="C2" s="356"/>
      <c r="D2" s="357"/>
      <c r="E2" s="366"/>
      <c r="F2" s="364"/>
      <c r="G2" s="366"/>
      <c r="H2" s="363"/>
      <c r="I2" s="363"/>
      <c r="J2" s="363"/>
      <c r="K2" s="363"/>
      <c r="L2" s="363"/>
      <c r="M2" s="363"/>
      <c r="N2" s="363"/>
      <c r="O2" s="363"/>
      <c r="P2" s="363"/>
      <c r="Q2" s="367"/>
      <c r="R2" s="377"/>
      <c r="S2" s="368"/>
      <c r="T2" s="366"/>
      <c r="U2" s="363"/>
      <c r="V2" s="363"/>
      <c r="W2" s="363"/>
      <c r="X2" s="363"/>
      <c r="Y2" s="363"/>
      <c r="Z2" s="363"/>
      <c r="AA2" s="363"/>
      <c r="AB2" s="363"/>
      <c r="AC2" s="381"/>
      <c r="AD2" s="362"/>
      <c r="AE2" s="363"/>
      <c r="AF2" s="363"/>
      <c r="AG2" s="363"/>
      <c r="AH2" s="363"/>
      <c r="AI2" s="363"/>
      <c r="AJ2" s="363"/>
      <c r="AK2" s="363"/>
      <c r="AL2" s="363"/>
      <c r="AM2" s="364"/>
      <c r="AN2" s="366"/>
      <c r="AO2" s="363"/>
      <c r="AP2" s="367"/>
      <c r="AQ2" s="363"/>
      <c r="AR2" s="363"/>
      <c r="AS2" s="363"/>
      <c r="AT2" s="363"/>
      <c r="AU2" s="363"/>
      <c r="AV2" s="363"/>
      <c r="AW2" s="372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</row>
    <row r="3" spans="1:62" ht="17.25" customHeight="1">
      <c r="A3" s="309" t="s">
        <v>9</v>
      </c>
      <c r="B3" s="311" t="s">
        <v>10</v>
      </c>
      <c r="C3" s="313" t="s">
        <v>131</v>
      </c>
      <c r="D3" s="358" t="s">
        <v>82</v>
      </c>
      <c r="E3" s="352" t="s">
        <v>11</v>
      </c>
      <c r="F3" s="317" t="s">
        <v>12</v>
      </c>
      <c r="G3" s="318" t="s">
        <v>13</v>
      </c>
      <c r="H3" s="384"/>
      <c r="I3" s="374"/>
      <c r="J3" s="321" t="s">
        <v>77</v>
      </c>
      <c r="K3" s="384"/>
      <c r="L3" s="374"/>
      <c r="M3" s="55" t="s">
        <v>18</v>
      </c>
      <c r="N3" s="342" t="s">
        <v>19</v>
      </c>
      <c r="O3" s="342" t="s">
        <v>20</v>
      </c>
      <c r="P3" s="342" t="s">
        <v>78</v>
      </c>
      <c r="Q3" s="343" t="s">
        <v>79</v>
      </c>
      <c r="R3" s="377"/>
      <c r="S3" s="368"/>
      <c r="T3" s="339" t="s">
        <v>24</v>
      </c>
      <c r="U3" s="374"/>
      <c r="V3" s="338" t="s">
        <v>25</v>
      </c>
      <c r="W3" s="374"/>
      <c r="X3" s="338" t="s">
        <v>26</v>
      </c>
      <c r="Y3" s="374"/>
      <c r="Z3" s="338" t="s">
        <v>27</v>
      </c>
      <c r="AA3" s="374"/>
      <c r="AB3" s="338" t="s">
        <v>28</v>
      </c>
      <c r="AC3" s="376"/>
      <c r="AD3" s="341" t="s">
        <v>24</v>
      </c>
      <c r="AE3" s="374"/>
      <c r="AF3" s="338" t="s">
        <v>25</v>
      </c>
      <c r="AG3" s="374"/>
      <c r="AH3" s="338" t="s">
        <v>26</v>
      </c>
      <c r="AI3" s="374"/>
      <c r="AJ3" s="338" t="s">
        <v>27</v>
      </c>
      <c r="AK3" s="374"/>
      <c r="AL3" s="338" t="s">
        <v>28</v>
      </c>
      <c r="AM3" s="374"/>
      <c r="AN3" s="19" t="s">
        <v>29</v>
      </c>
      <c r="AO3" s="349" t="s">
        <v>30</v>
      </c>
      <c r="AP3" s="350" t="s">
        <v>31</v>
      </c>
      <c r="AQ3" s="345" t="s">
        <v>32</v>
      </c>
      <c r="AR3" s="20" t="s">
        <v>33</v>
      </c>
      <c r="AS3" s="20" t="s">
        <v>34</v>
      </c>
      <c r="AT3" s="20" t="s">
        <v>35</v>
      </c>
      <c r="AU3" s="20" t="s">
        <v>29</v>
      </c>
      <c r="AV3" s="68" t="s">
        <v>83</v>
      </c>
      <c r="AW3" s="347" t="s">
        <v>30</v>
      </c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</row>
    <row r="4" spans="1:62" ht="10.5" customHeight="1">
      <c r="A4" s="387"/>
      <c r="B4" s="375"/>
      <c r="C4" s="383"/>
      <c r="D4" s="359"/>
      <c r="E4" s="370"/>
      <c r="F4" s="383"/>
      <c r="G4" s="52" t="s">
        <v>36</v>
      </c>
      <c r="H4" s="53" t="s">
        <v>37</v>
      </c>
      <c r="I4" s="54" t="s">
        <v>36</v>
      </c>
      <c r="J4" s="22" t="s">
        <v>80</v>
      </c>
      <c r="K4" s="22" t="s">
        <v>81</v>
      </c>
      <c r="L4" s="22" t="s">
        <v>17</v>
      </c>
      <c r="M4" s="23" t="s">
        <v>36</v>
      </c>
      <c r="N4" s="375"/>
      <c r="O4" s="375"/>
      <c r="P4" s="375"/>
      <c r="Q4" s="382"/>
      <c r="R4" s="378"/>
      <c r="S4" s="379"/>
      <c r="T4" s="24" t="s">
        <v>29</v>
      </c>
      <c r="U4" s="25" t="s">
        <v>40</v>
      </c>
      <c r="V4" s="21" t="s">
        <v>29</v>
      </c>
      <c r="W4" s="25" t="s">
        <v>40</v>
      </c>
      <c r="X4" s="21" t="s">
        <v>29</v>
      </c>
      <c r="Y4" s="25" t="s">
        <v>40</v>
      </c>
      <c r="Z4" s="21" t="s">
        <v>29</v>
      </c>
      <c r="AA4" s="25" t="s">
        <v>40</v>
      </c>
      <c r="AB4" s="21" t="s">
        <v>29</v>
      </c>
      <c r="AC4" s="58" t="s">
        <v>40</v>
      </c>
      <c r="AD4" s="61" t="s">
        <v>29</v>
      </c>
      <c r="AE4" s="25" t="s">
        <v>40</v>
      </c>
      <c r="AF4" s="21" t="s">
        <v>29</v>
      </c>
      <c r="AG4" s="25" t="s">
        <v>40</v>
      </c>
      <c r="AH4" s="21" t="s">
        <v>29</v>
      </c>
      <c r="AI4" s="25" t="s">
        <v>40</v>
      </c>
      <c r="AJ4" s="21" t="s">
        <v>29</v>
      </c>
      <c r="AK4" s="25" t="s">
        <v>40</v>
      </c>
      <c r="AL4" s="21" t="s">
        <v>29</v>
      </c>
      <c r="AM4" s="26" t="s">
        <v>40</v>
      </c>
      <c r="AN4" s="27" t="s">
        <v>41</v>
      </c>
      <c r="AO4" s="375"/>
      <c r="AP4" s="369"/>
      <c r="AQ4" s="370"/>
      <c r="AR4" s="28" t="s">
        <v>42</v>
      </c>
      <c r="AS4" s="28" t="s">
        <v>43</v>
      </c>
      <c r="AT4" s="28" t="s">
        <v>44</v>
      </c>
      <c r="AU4" s="28" t="s">
        <v>41</v>
      </c>
      <c r="AV4" s="22" t="s">
        <v>41</v>
      </c>
      <c r="AW4" s="373"/>
      <c r="AX4" s="71"/>
      <c r="AY4" s="73" t="s">
        <v>45</v>
      </c>
      <c r="AZ4" s="73" t="s">
        <v>46</v>
      </c>
      <c r="BA4" s="73" t="s">
        <v>47</v>
      </c>
      <c r="BB4" s="73" t="s">
        <v>48</v>
      </c>
      <c r="BC4" s="73" t="s">
        <v>49</v>
      </c>
      <c r="BD4" s="73" t="s">
        <v>50</v>
      </c>
      <c r="BE4" s="73" t="s">
        <v>51</v>
      </c>
      <c r="BF4" s="73" t="s">
        <v>52</v>
      </c>
      <c r="BG4" s="73" t="s">
        <v>53</v>
      </c>
      <c r="BH4" s="73" t="s">
        <v>54</v>
      </c>
      <c r="BI4" s="73" t="s">
        <v>55</v>
      </c>
      <c r="BJ4" s="73" t="s">
        <v>56</v>
      </c>
    </row>
    <row r="5" spans="1:62" ht="8.25" customHeight="1">
      <c r="A5" s="1"/>
      <c r="B5" s="2"/>
      <c r="C5" s="3"/>
      <c r="D5" s="65"/>
      <c r="E5" s="64"/>
      <c r="F5" s="4"/>
      <c r="G5" s="5"/>
      <c r="H5" s="6"/>
      <c r="I5" s="7"/>
      <c r="J5" s="7"/>
      <c r="K5" s="6"/>
      <c r="L5" s="7"/>
      <c r="M5" s="69"/>
      <c r="N5" s="12"/>
      <c r="O5" s="12"/>
      <c r="P5" s="2"/>
      <c r="Q5" s="56"/>
      <c r="R5" s="9"/>
      <c r="S5" s="10"/>
      <c r="T5" s="11"/>
      <c r="U5" s="12"/>
      <c r="V5" s="12"/>
      <c r="W5" s="12"/>
      <c r="X5" s="12"/>
      <c r="Y5" s="2"/>
      <c r="Z5" s="2"/>
      <c r="AA5" s="2"/>
      <c r="AB5" s="2"/>
      <c r="AC5" s="59"/>
      <c r="AD5" s="62"/>
      <c r="AE5" s="2"/>
      <c r="AF5" s="2"/>
      <c r="AG5" s="2"/>
      <c r="AH5" s="2"/>
      <c r="AI5" s="2"/>
      <c r="AJ5" s="12"/>
      <c r="AK5" s="12"/>
      <c r="AL5" s="12"/>
      <c r="AM5" s="13"/>
      <c r="AN5" s="11"/>
      <c r="AO5" s="12"/>
      <c r="AP5" s="4"/>
      <c r="AQ5" s="14"/>
      <c r="AR5" s="2"/>
      <c r="AS5" s="15"/>
      <c r="AT5" s="16"/>
      <c r="AU5" s="15"/>
      <c r="AV5" s="66"/>
      <c r="AW5" s="17"/>
      <c r="AX5" s="18"/>
      <c r="AY5" s="18" t="str">
        <f t="shared" ref="AY5:AY23" si="0">IF(AND($AQ5="TC",NOT(ISBLANK($AU5))),$AW5*$AS5,"")</f>
        <v/>
      </c>
      <c r="AZ5" s="18" t="str">
        <f t="shared" ref="AZ5:AZ23" si="1">IF(AND($AQ5="TC",NOT(ISBLANK($AU5))),$AW5,"")</f>
        <v/>
      </c>
      <c r="BA5" s="18"/>
      <c r="BB5" s="18"/>
      <c r="BC5" s="18"/>
      <c r="BD5" s="18"/>
      <c r="BE5" s="18" t="str">
        <f t="shared" ref="BE5:BE23" si="2">IF(AND($AQ5="HTS",NOT(ISBLANK($AU5))),$AW5*$AS5,"")</f>
        <v/>
      </c>
      <c r="BF5" s="18" t="str">
        <f t="shared" ref="BF5:BF23" si="3">IF(AND($AQ5="HTS",NOT(ISBLANK($AU5))),$AW5,"")</f>
        <v/>
      </c>
      <c r="BG5" s="18"/>
      <c r="BH5" s="18" t="str">
        <f t="shared" ref="BH5:BH23" si="4">IF(AND($AQ5="HAST",NOT(ISBLANK($AU5))),$AW5*$AS5,"")</f>
        <v/>
      </c>
      <c r="BI5" s="18" t="str">
        <f t="shared" ref="BI5:BI23" si="5">IF(AND($AQ5="HAST",NOT(ISBLANK($AU5))),$AW5,"")</f>
        <v/>
      </c>
      <c r="BJ5" s="18"/>
    </row>
    <row r="6" spans="1:62" ht="8.25" customHeight="1">
      <c r="A6" s="1"/>
      <c r="B6" s="2"/>
      <c r="C6" s="3"/>
      <c r="D6" s="65"/>
      <c r="E6" s="64"/>
      <c r="F6" s="4"/>
      <c r="G6" s="5"/>
      <c r="H6" s="6"/>
      <c r="I6" s="7"/>
      <c r="J6" s="7"/>
      <c r="K6" s="6"/>
      <c r="L6" s="7"/>
      <c r="M6" s="69"/>
      <c r="N6" s="12"/>
      <c r="O6" s="12"/>
      <c r="P6" s="2"/>
      <c r="Q6" s="56"/>
      <c r="R6" s="9"/>
      <c r="S6" s="10"/>
      <c r="T6" s="11"/>
      <c r="U6" s="12"/>
      <c r="V6" s="12"/>
      <c r="W6" s="12"/>
      <c r="X6" s="12"/>
      <c r="Y6" s="2"/>
      <c r="Z6" s="2"/>
      <c r="AA6" s="2"/>
      <c r="AB6" s="2"/>
      <c r="AC6" s="59"/>
      <c r="AD6" s="62"/>
      <c r="AE6" s="2"/>
      <c r="AF6" s="2"/>
      <c r="AG6" s="2"/>
      <c r="AH6" s="2"/>
      <c r="AI6" s="2"/>
      <c r="AJ6" s="12"/>
      <c r="AK6" s="12"/>
      <c r="AL6" s="12"/>
      <c r="AM6" s="13"/>
      <c r="AN6" s="11"/>
      <c r="AO6" s="12"/>
      <c r="AP6" s="4"/>
      <c r="AQ6" s="14"/>
      <c r="AR6" s="2"/>
      <c r="AS6" s="15"/>
      <c r="AT6" s="16"/>
      <c r="AU6" s="15"/>
      <c r="AV6" s="66"/>
      <c r="AW6" s="17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spans="1:62" ht="8.25" customHeight="1">
      <c r="A7" s="1"/>
      <c r="B7" s="2"/>
      <c r="C7" s="3"/>
      <c r="D7" s="65"/>
      <c r="E7" s="64"/>
      <c r="F7" s="4"/>
      <c r="G7" s="5"/>
      <c r="H7" s="6"/>
      <c r="I7" s="7"/>
      <c r="J7" s="7"/>
      <c r="K7" s="6"/>
      <c r="L7" s="7"/>
      <c r="M7" s="69"/>
      <c r="N7" s="12"/>
      <c r="O7" s="12"/>
      <c r="P7" s="2"/>
      <c r="Q7" s="56"/>
      <c r="R7" s="9"/>
      <c r="S7" s="10"/>
      <c r="T7" s="11"/>
      <c r="U7" s="12"/>
      <c r="V7" s="12"/>
      <c r="W7" s="12"/>
      <c r="X7" s="12"/>
      <c r="Y7" s="2"/>
      <c r="Z7" s="2"/>
      <c r="AA7" s="2"/>
      <c r="AB7" s="2"/>
      <c r="AC7" s="59"/>
      <c r="AD7" s="62"/>
      <c r="AE7" s="2"/>
      <c r="AF7" s="2"/>
      <c r="AG7" s="2"/>
      <c r="AH7" s="2"/>
      <c r="AI7" s="2"/>
      <c r="AJ7" s="12"/>
      <c r="AK7" s="12"/>
      <c r="AL7" s="12"/>
      <c r="AM7" s="13"/>
      <c r="AN7" s="11"/>
      <c r="AO7" s="12"/>
      <c r="AP7" s="4"/>
      <c r="AQ7" s="14"/>
      <c r="AR7" s="2"/>
      <c r="AS7" s="15"/>
      <c r="AT7" s="16"/>
      <c r="AU7" s="15"/>
      <c r="AV7" s="66"/>
      <c r="AW7" s="17"/>
      <c r="AX7" s="18"/>
      <c r="AY7" s="18" t="str">
        <f t="shared" si="0"/>
        <v/>
      </c>
      <c r="AZ7" s="18" t="str">
        <f t="shared" si="1"/>
        <v/>
      </c>
      <c r="BA7" s="18"/>
      <c r="BB7" s="18"/>
      <c r="BC7" s="18"/>
      <c r="BD7" s="18"/>
      <c r="BE7" s="18" t="str">
        <f t="shared" si="2"/>
        <v/>
      </c>
      <c r="BF7" s="18" t="str">
        <f t="shared" si="3"/>
        <v/>
      </c>
      <c r="BG7" s="18"/>
      <c r="BH7" s="18" t="str">
        <f t="shared" si="4"/>
        <v/>
      </c>
      <c r="BI7" s="18" t="str">
        <f t="shared" si="5"/>
        <v/>
      </c>
      <c r="BJ7" s="18"/>
    </row>
    <row r="8" spans="1:62" ht="8.25" customHeight="1">
      <c r="A8" s="1"/>
      <c r="B8" s="2"/>
      <c r="C8" s="3"/>
      <c r="D8" s="65"/>
      <c r="E8" s="64"/>
      <c r="F8" s="4"/>
      <c r="G8" s="5"/>
      <c r="H8" s="6"/>
      <c r="I8" s="7"/>
      <c r="J8" s="7"/>
      <c r="K8" s="6"/>
      <c r="L8" s="7"/>
      <c r="M8" s="69"/>
      <c r="N8" s="12"/>
      <c r="O8" s="12"/>
      <c r="P8" s="2"/>
      <c r="Q8" s="56"/>
      <c r="R8" s="9"/>
      <c r="S8" s="10"/>
      <c r="T8" s="11"/>
      <c r="U8" s="12"/>
      <c r="V8" s="12"/>
      <c r="W8" s="12"/>
      <c r="X8" s="12"/>
      <c r="Y8" s="2"/>
      <c r="Z8" s="2"/>
      <c r="AA8" s="2"/>
      <c r="AB8" s="2"/>
      <c r="AC8" s="59"/>
      <c r="AD8" s="62"/>
      <c r="AE8" s="2"/>
      <c r="AF8" s="2"/>
      <c r="AG8" s="2"/>
      <c r="AH8" s="2"/>
      <c r="AI8" s="2"/>
      <c r="AJ8" s="12"/>
      <c r="AK8" s="12"/>
      <c r="AL8" s="12"/>
      <c r="AM8" s="13"/>
      <c r="AN8" s="11"/>
      <c r="AO8" s="12"/>
      <c r="AP8" s="4"/>
      <c r="AQ8" s="14"/>
      <c r="AR8" s="2"/>
      <c r="AS8" s="16"/>
      <c r="AT8" s="16"/>
      <c r="AU8" s="16"/>
      <c r="AV8" s="67"/>
      <c r="AW8" s="51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8.25" customHeight="1">
      <c r="A9" s="1"/>
      <c r="B9" s="2"/>
      <c r="C9" s="3"/>
      <c r="D9" s="65"/>
      <c r="E9" s="64"/>
      <c r="F9" s="4"/>
      <c r="G9" s="5"/>
      <c r="H9" s="6"/>
      <c r="I9" s="7"/>
      <c r="J9" s="7"/>
      <c r="K9" s="6"/>
      <c r="L9" s="7"/>
      <c r="M9" s="69"/>
      <c r="N9" s="12"/>
      <c r="O9" s="12"/>
      <c r="P9" s="2"/>
      <c r="Q9" s="56"/>
      <c r="R9" s="9"/>
      <c r="S9" s="10"/>
      <c r="T9" s="11"/>
      <c r="U9" s="12"/>
      <c r="V9" s="12"/>
      <c r="W9" s="12"/>
      <c r="X9" s="12"/>
      <c r="Y9" s="2"/>
      <c r="Z9" s="2"/>
      <c r="AA9" s="2"/>
      <c r="AB9" s="2"/>
      <c r="AC9" s="59"/>
      <c r="AD9" s="62"/>
      <c r="AE9" s="2"/>
      <c r="AF9" s="2"/>
      <c r="AG9" s="2"/>
      <c r="AH9" s="2"/>
      <c r="AI9" s="2"/>
      <c r="AJ9" s="12"/>
      <c r="AK9" s="12"/>
      <c r="AL9" s="12"/>
      <c r="AM9" s="13"/>
      <c r="AN9" s="11"/>
      <c r="AO9" s="12"/>
      <c r="AP9" s="4"/>
      <c r="AQ9" s="14"/>
      <c r="AR9" s="2"/>
      <c r="AS9" s="16"/>
      <c r="AT9" s="16"/>
      <c r="AU9" s="16"/>
      <c r="AV9" s="67"/>
      <c r="AW9" s="51"/>
      <c r="AX9" s="18"/>
      <c r="AY9" s="18" t="str">
        <f t="shared" si="0"/>
        <v/>
      </c>
      <c r="AZ9" s="18" t="str">
        <f t="shared" si="1"/>
        <v/>
      </c>
      <c r="BA9" s="18"/>
      <c r="BB9" s="18"/>
      <c r="BC9" s="18"/>
      <c r="BD9" s="18"/>
      <c r="BE9" s="18" t="str">
        <f t="shared" si="2"/>
        <v/>
      </c>
      <c r="BF9" s="18" t="str">
        <f t="shared" si="3"/>
        <v/>
      </c>
      <c r="BG9" s="18"/>
      <c r="BH9" s="18" t="str">
        <f t="shared" si="4"/>
        <v/>
      </c>
      <c r="BI9" s="18" t="str">
        <f t="shared" si="5"/>
        <v/>
      </c>
      <c r="BJ9" s="18"/>
    </row>
    <row r="10" spans="1:62" ht="8.25" customHeight="1">
      <c r="A10" s="1"/>
      <c r="B10" s="2"/>
      <c r="C10" s="3"/>
      <c r="D10" s="65"/>
      <c r="E10" s="64"/>
      <c r="F10" s="4"/>
      <c r="G10" s="5"/>
      <c r="H10" s="6"/>
      <c r="I10" s="7"/>
      <c r="J10" s="7"/>
      <c r="K10" s="6"/>
      <c r="L10" s="7"/>
      <c r="M10" s="69"/>
      <c r="N10" s="96"/>
      <c r="O10" s="96"/>
      <c r="P10" s="2"/>
      <c r="Q10" s="56"/>
      <c r="R10" s="9"/>
      <c r="S10" s="10"/>
      <c r="T10" s="11"/>
      <c r="U10" s="12"/>
      <c r="V10" s="12"/>
      <c r="W10" s="12"/>
      <c r="X10" s="12"/>
      <c r="Y10" s="2"/>
      <c r="Z10" s="2"/>
      <c r="AA10" s="2"/>
      <c r="AB10" s="2"/>
      <c r="AC10" s="59"/>
      <c r="AD10" s="62"/>
      <c r="AE10" s="2"/>
      <c r="AF10" s="2"/>
      <c r="AG10" s="2"/>
      <c r="AH10" s="2"/>
      <c r="AI10" s="2"/>
      <c r="AJ10" s="12"/>
      <c r="AK10" s="12"/>
      <c r="AL10" s="12"/>
      <c r="AM10" s="13"/>
      <c r="AN10" s="11"/>
      <c r="AO10" s="12"/>
      <c r="AP10" s="4"/>
      <c r="AQ10" s="14"/>
      <c r="AR10" s="2"/>
      <c r="AS10" s="15"/>
      <c r="AT10" s="16"/>
      <c r="AU10" s="15"/>
      <c r="AV10" s="66"/>
      <c r="AW10" s="17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2" ht="8.25" customHeight="1">
      <c r="A11" s="1"/>
      <c r="B11" s="2"/>
      <c r="C11" s="3"/>
      <c r="D11" s="65"/>
      <c r="E11" s="64"/>
      <c r="F11" s="4"/>
      <c r="G11" s="5"/>
      <c r="H11" s="6"/>
      <c r="I11" s="7"/>
      <c r="J11" s="7"/>
      <c r="K11" s="6"/>
      <c r="L11" s="7"/>
      <c r="M11" s="69"/>
      <c r="N11" s="12"/>
      <c r="O11" s="12"/>
      <c r="P11" s="2"/>
      <c r="Q11" s="56"/>
      <c r="R11" s="9"/>
      <c r="S11" s="10"/>
      <c r="T11" s="11"/>
      <c r="U11" s="12"/>
      <c r="V11" s="12"/>
      <c r="W11" s="12"/>
      <c r="X11" s="12"/>
      <c r="Y11" s="2"/>
      <c r="Z11" s="2"/>
      <c r="AA11" s="2"/>
      <c r="AB11" s="2"/>
      <c r="AC11" s="59"/>
      <c r="AD11" s="62"/>
      <c r="AE11" s="2"/>
      <c r="AF11" s="2"/>
      <c r="AG11" s="2"/>
      <c r="AH11" s="2"/>
      <c r="AI11" s="2"/>
      <c r="AJ11" s="12"/>
      <c r="AK11" s="12"/>
      <c r="AL11" s="12"/>
      <c r="AM11" s="13"/>
      <c r="AN11" s="11"/>
      <c r="AO11" s="12"/>
      <c r="AP11" s="4"/>
      <c r="AQ11" s="14"/>
      <c r="AR11" s="2"/>
      <c r="AS11" s="16"/>
      <c r="AT11" s="16"/>
      <c r="AU11" s="16"/>
      <c r="AV11" s="67"/>
      <c r="AW11" s="51"/>
      <c r="AX11" s="18"/>
      <c r="AY11" s="18" t="str">
        <f t="shared" si="0"/>
        <v/>
      </c>
      <c r="AZ11" s="18" t="str">
        <f t="shared" si="1"/>
        <v/>
      </c>
      <c r="BA11" s="18"/>
      <c r="BB11" s="18"/>
      <c r="BC11" s="18"/>
      <c r="BD11" s="18"/>
      <c r="BE11" s="18" t="str">
        <f t="shared" si="2"/>
        <v/>
      </c>
      <c r="BF11" s="18" t="str">
        <f t="shared" si="3"/>
        <v/>
      </c>
      <c r="BG11" s="18"/>
      <c r="BH11" s="18" t="str">
        <f t="shared" si="4"/>
        <v/>
      </c>
      <c r="BI11" s="18" t="str">
        <f t="shared" si="5"/>
        <v/>
      </c>
      <c r="BJ11" s="18"/>
    </row>
    <row r="12" spans="1:62" ht="8.25" customHeight="1">
      <c r="A12" s="1"/>
      <c r="B12" s="2"/>
      <c r="C12" s="3"/>
      <c r="D12" s="65"/>
      <c r="E12" s="64"/>
      <c r="F12" s="4"/>
      <c r="G12" s="5"/>
      <c r="H12" s="6"/>
      <c r="I12" s="7"/>
      <c r="J12" s="7"/>
      <c r="K12" s="6"/>
      <c r="L12" s="7"/>
      <c r="M12" s="69"/>
      <c r="N12" s="96"/>
      <c r="O12" s="96"/>
      <c r="P12" s="2"/>
      <c r="Q12" s="56"/>
      <c r="R12" s="9"/>
      <c r="S12" s="10"/>
      <c r="T12" s="11"/>
      <c r="U12" s="12"/>
      <c r="V12" s="12"/>
      <c r="W12" s="12"/>
      <c r="X12" s="12"/>
      <c r="Y12" s="2"/>
      <c r="Z12" s="2"/>
      <c r="AA12" s="2"/>
      <c r="AB12" s="2"/>
      <c r="AC12" s="59"/>
      <c r="AD12" s="62"/>
      <c r="AE12" s="2"/>
      <c r="AF12" s="2"/>
      <c r="AG12" s="2"/>
      <c r="AH12" s="2"/>
      <c r="AI12" s="2"/>
      <c r="AJ12" s="12"/>
      <c r="AK12" s="12"/>
      <c r="AL12" s="12"/>
      <c r="AM12" s="13"/>
      <c r="AN12" s="11"/>
      <c r="AO12" s="12"/>
      <c r="AP12" s="4"/>
      <c r="AQ12" s="14"/>
      <c r="AR12" s="2"/>
      <c r="AS12" s="15"/>
      <c r="AT12" s="16"/>
      <c r="AU12" s="15"/>
      <c r="AV12" s="66"/>
      <c r="AW12" s="17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2" ht="8.25" customHeight="1">
      <c r="A13" s="1"/>
      <c r="B13" s="2"/>
      <c r="C13" s="3"/>
      <c r="D13" s="65"/>
      <c r="E13" s="64"/>
      <c r="F13" s="4"/>
      <c r="G13" s="5"/>
      <c r="H13" s="6"/>
      <c r="I13" s="7"/>
      <c r="J13" s="7"/>
      <c r="K13" s="6"/>
      <c r="L13" s="7"/>
      <c r="M13" s="69"/>
      <c r="N13" s="12"/>
      <c r="O13" s="12"/>
      <c r="P13" s="2"/>
      <c r="Q13" s="56"/>
      <c r="R13" s="9"/>
      <c r="S13" s="10"/>
      <c r="T13" s="11"/>
      <c r="U13" s="12"/>
      <c r="V13" s="12"/>
      <c r="W13" s="12"/>
      <c r="X13" s="12"/>
      <c r="Y13" s="2"/>
      <c r="Z13" s="2"/>
      <c r="AA13" s="2"/>
      <c r="AB13" s="2"/>
      <c r="AC13" s="59"/>
      <c r="AD13" s="62"/>
      <c r="AE13" s="2"/>
      <c r="AF13" s="2"/>
      <c r="AG13" s="2"/>
      <c r="AH13" s="2"/>
      <c r="AI13" s="2"/>
      <c r="AJ13" s="12"/>
      <c r="AK13" s="12"/>
      <c r="AL13" s="12"/>
      <c r="AM13" s="13"/>
      <c r="AN13" s="11"/>
      <c r="AO13" s="12"/>
      <c r="AP13" s="4"/>
      <c r="AQ13" s="14"/>
      <c r="AR13" s="2"/>
      <c r="AS13" s="16"/>
      <c r="AT13" s="16"/>
      <c r="AU13" s="16"/>
      <c r="AV13" s="67"/>
      <c r="AW13" s="51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2" ht="8.25" customHeight="1">
      <c r="A14" s="1"/>
      <c r="B14" s="2"/>
      <c r="C14" s="3"/>
      <c r="D14" s="65"/>
      <c r="E14" s="64"/>
      <c r="F14" s="4"/>
      <c r="G14" s="5"/>
      <c r="H14" s="6"/>
      <c r="I14" s="7"/>
      <c r="J14" s="7"/>
      <c r="K14" s="6"/>
      <c r="L14" s="7"/>
      <c r="M14" s="69"/>
      <c r="N14" s="96"/>
      <c r="O14" s="96"/>
      <c r="P14" s="2"/>
      <c r="Q14" s="56"/>
      <c r="R14" s="9"/>
      <c r="S14" s="10"/>
      <c r="T14" s="11"/>
      <c r="U14" s="12"/>
      <c r="V14" s="12"/>
      <c r="W14" s="12"/>
      <c r="X14" s="12"/>
      <c r="Y14" s="2"/>
      <c r="Z14" s="2"/>
      <c r="AA14" s="2"/>
      <c r="AB14" s="2"/>
      <c r="AC14" s="59"/>
      <c r="AD14" s="62"/>
      <c r="AE14" s="2"/>
      <c r="AF14" s="2"/>
      <c r="AG14" s="2"/>
      <c r="AH14" s="2"/>
      <c r="AI14" s="2"/>
      <c r="AJ14" s="12"/>
      <c r="AK14" s="12"/>
      <c r="AL14" s="12"/>
      <c r="AM14" s="13"/>
      <c r="AN14" s="11"/>
      <c r="AO14" s="12"/>
      <c r="AP14" s="4"/>
      <c r="AQ14" s="14"/>
      <c r="AR14" s="2"/>
      <c r="AS14" s="15"/>
      <c r="AT14" s="16"/>
      <c r="AU14" s="15"/>
      <c r="AV14" s="66"/>
      <c r="AW14" s="17"/>
      <c r="AX14" s="18"/>
      <c r="AY14" s="18" t="str">
        <f t="shared" si="0"/>
        <v/>
      </c>
      <c r="AZ14" s="18" t="str">
        <f t="shared" si="1"/>
        <v/>
      </c>
      <c r="BA14" s="18"/>
      <c r="BB14" s="18"/>
      <c r="BC14" s="18"/>
      <c r="BD14" s="18"/>
      <c r="BE14" s="18" t="str">
        <f t="shared" si="2"/>
        <v/>
      </c>
      <c r="BF14" s="18" t="str">
        <f t="shared" si="3"/>
        <v/>
      </c>
      <c r="BG14" s="18"/>
      <c r="BH14" s="18" t="str">
        <f t="shared" si="4"/>
        <v/>
      </c>
      <c r="BI14" s="18" t="str">
        <f t="shared" si="5"/>
        <v/>
      </c>
      <c r="BJ14" s="18"/>
    </row>
    <row r="15" spans="1:62" ht="8.25" customHeight="1">
      <c r="A15" s="1"/>
      <c r="B15" s="2"/>
      <c r="C15" s="3"/>
      <c r="D15" s="65"/>
      <c r="E15" s="64"/>
      <c r="F15" s="4"/>
      <c r="G15" s="5"/>
      <c r="H15" s="6"/>
      <c r="I15" s="7"/>
      <c r="J15" s="7"/>
      <c r="K15" s="6"/>
      <c r="L15" s="7"/>
      <c r="M15" s="69"/>
      <c r="N15" s="12"/>
      <c r="O15" s="12"/>
      <c r="P15" s="2"/>
      <c r="Q15" s="56"/>
      <c r="R15" s="9"/>
      <c r="S15" s="10"/>
      <c r="T15" s="11"/>
      <c r="U15" s="12"/>
      <c r="V15" s="12"/>
      <c r="W15" s="12"/>
      <c r="X15" s="12"/>
      <c r="Y15" s="2"/>
      <c r="Z15" s="2"/>
      <c r="AA15" s="2"/>
      <c r="AB15" s="2"/>
      <c r="AC15" s="59"/>
      <c r="AD15" s="62"/>
      <c r="AE15" s="2"/>
      <c r="AF15" s="2"/>
      <c r="AG15" s="2"/>
      <c r="AH15" s="2"/>
      <c r="AI15" s="2"/>
      <c r="AJ15" s="12"/>
      <c r="AK15" s="12"/>
      <c r="AL15" s="12"/>
      <c r="AM15" s="13"/>
      <c r="AN15" s="11"/>
      <c r="AO15" s="12"/>
      <c r="AP15" s="4"/>
      <c r="AQ15" s="14"/>
      <c r="AR15" s="2"/>
      <c r="AS15" s="16"/>
      <c r="AT15" s="16"/>
      <c r="AU15" s="16"/>
      <c r="AV15" s="67"/>
      <c r="AW15" s="51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2" ht="8.25" customHeight="1">
      <c r="A16" s="1"/>
      <c r="B16" s="2"/>
      <c r="C16" s="3"/>
      <c r="D16" s="65"/>
      <c r="E16" s="64"/>
      <c r="F16" s="4"/>
      <c r="G16" s="5"/>
      <c r="H16" s="6"/>
      <c r="I16" s="7"/>
      <c r="J16" s="7"/>
      <c r="K16" s="6"/>
      <c r="L16" s="7"/>
      <c r="M16" s="69"/>
      <c r="N16" s="96"/>
      <c r="O16" s="96"/>
      <c r="P16" s="2"/>
      <c r="Q16" s="56"/>
      <c r="R16" s="9"/>
      <c r="S16" s="10"/>
      <c r="T16" s="11"/>
      <c r="U16" s="12"/>
      <c r="V16" s="12"/>
      <c r="W16" s="12"/>
      <c r="X16" s="12"/>
      <c r="Y16" s="2"/>
      <c r="Z16" s="2"/>
      <c r="AA16" s="2"/>
      <c r="AB16" s="2"/>
      <c r="AC16" s="59"/>
      <c r="AD16" s="62"/>
      <c r="AE16" s="2"/>
      <c r="AF16" s="2"/>
      <c r="AG16" s="2"/>
      <c r="AH16" s="2"/>
      <c r="AI16" s="2"/>
      <c r="AJ16" s="12"/>
      <c r="AK16" s="12"/>
      <c r="AL16" s="12"/>
      <c r="AM16" s="13"/>
      <c r="AN16" s="11"/>
      <c r="AO16" s="12"/>
      <c r="AP16" s="4"/>
      <c r="AQ16" s="14"/>
      <c r="AR16" s="2"/>
      <c r="AS16" s="15"/>
      <c r="AT16" s="16"/>
      <c r="AU16" s="15"/>
      <c r="AV16" s="66"/>
      <c r="AW16" s="17"/>
      <c r="AX16" s="18"/>
      <c r="AY16" s="18" t="str">
        <f t="shared" si="0"/>
        <v/>
      </c>
      <c r="AZ16" s="18" t="str">
        <f t="shared" si="1"/>
        <v/>
      </c>
      <c r="BA16" s="18"/>
      <c r="BB16" s="18"/>
      <c r="BC16" s="18"/>
      <c r="BD16" s="18"/>
      <c r="BE16" s="18" t="str">
        <f t="shared" si="2"/>
        <v/>
      </c>
      <c r="BF16" s="18" t="str">
        <f t="shared" si="3"/>
        <v/>
      </c>
      <c r="BG16" s="18"/>
      <c r="BH16" s="18" t="str">
        <f t="shared" si="4"/>
        <v/>
      </c>
      <c r="BI16" s="18" t="str">
        <f t="shared" si="5"/>
        <v/>
      </c>
      <c r="BJ16" s="18"/>
    </row>
    <row r="17" spans="1:62" ht="8.25" customHeight="1">
      <c r="A17" s="1"/>
      <c r="B17" s="2"/>
      <c r="C17" s="3"/>
      <c r="D17" s="65"/>
      <c r="E17" s="64"/>
      <c r="F17" s="4"/>
      <c r="G17" s="5"/>
      <c r="H17" s="6"/>
      <c r="I17" s="7"/>
      <c r="J17" s="7"/>
      <c r="K17" s="6"/>
      <c r="L17" s="7"/>
      <c r="M17" s="69"/>
      <c r="N17" s="96"/>
      <c r="O17" s="96"/>
      <c r="P17" s="2"/>
      <c r="Q17" s="56"/>
      <c r="R17" s="9"/>
      <c r="S17" s="10"/>
      <c r="T17" s="11"/>
      <c r="U17" s="12"/>
      <c r="V17" s="12"/>
      <c r="W17" s="12"/>
      <c r="X17" s="12"/>
      <c r="Y17" s="2"/>
      <c r="Z17" s="2"/>
      <c r="AA17" s="2"/>
      <c r="AB17" s="2"/>
      <c r="AC17" s="59"/>
      <c r="AD17" s="62"/>
      <c r="AE17" s="2"/>
      <c r="AF17" s="2"/>
      <c r="AG17" s="2"/>
      <c r="AH17" s="2"/>
      <c r="AI17" s="2"/>
      <c r="AJ17" s="12"/>
      <c r="AK17" s="12"/>
      <c r="AL17" s="12"/>
      <c r="AM17" s="13"/>
      <c r="AN17" s="11"/>
      <c r="AO17" s="12"/>
      <c r="AP17" s="4"/>
      <c r="AQ17" s="14"/>
      <c r="AR17" s="2"/>
      <c r="AS17" s="15"/>
      <c r="AT17" s="16"/>
      <c r="AU17" s="15"/>
      <c r="AV17" s="66"/>
      <c r="AW17" s="17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1:62" ht="8.25" customHeight="1">
      <c r="A18" s="1"/>
      <c r="B18" s="2"/>
      <c r="C18" s="3"/>
      <c r="D18" s="65"/>
      <c r="E18" s="64"/>
      <c r="F18" s="4"/>
      <c r="G18" s="5"/>
      <c r="H18" s="6"/>
      <c r="I18" s="7"/>
      <c r="J18" s="7"/>
      <c r="K18" s="6"/>
      <c r="L18" s="7"/>
      <c r="M18" s="69"/>
      <c r="N18" s="96"/>
      <c r="O18" s="96"/>
      <c r="P18" s="2"/>
      <c r="Q18" s="56"/>
      <c r="R18" s="9"/>
      <c r="S18" s="10"/>
      <c r="T18" s="11"/>
      <c r="U18" s="12"/>
      <c r="V18" s="12"/>
      <c r="W18" s="12"/>
      <c r="X18" s="12"/>
      <c r="Y18" s="2"/>
      <c r="Z18" s="2"/>
      <c r="AA18" s="2"/>
      <c r="AB18" s="2"/>
      <c r="AC18" s="59"/>
      <c r="AD18" s="62"/>
      <c r="AE18" s="2"/>
      <c r="AF18" s="2"/>
      <c r="AG18" s="2"/>
      <c r="AH18" s="2"/>
      <c r="AI18" s="2"/>
      <c r="AJ18" s="12"/>
      <c r="AK18" s="12"/>
      <c r="AL18" s="12"/>
      <c r="AM18" s="13"/>
      <c r="AN18" s="11"/>
      <c r="AO18" s="12"/>
      <c r="AP18" s="4"/>
      <c r="AQ18" s="14"/>
      <c r="AR18" s="2"/>
      <c r="AS18" s="15"/>
      <c r="AT18" s="16"/>
      <c r="AU18" s="15"/>
      <c r="AV18" s="66"/>
      <c r="AW18" s="17"/>
      <c r="AX18" s="18"/>
      <c r="AY18" s="18" t="str">
        <f t="shared" si="0"/>
        <v/>
      </c>
      <c r="AZ18" s="18" t="str">
        <f t="shared" si="1"/>
        <v/>
      </c>
      <c r="BA18" s="18"/>
      <c r="BB18" s="18"/>
      <c r="BC18" s="18"/>
      <c r="BD18" s="18"/>
      <c r="BE18" s="18" t="str">
        <f t="shared" si="2"/>
        <v/>
      </c>
      <c r="BF18" s="18" t="str">
        <f t="shared" si="3"/>
        <v/>
      </c>
      <c r="BG18" s="18"/>
      <c r="BH18" s="18" t="str">
        <f t="shared" si="4"/>
        <v/>
      </c>
      <c r="BI18" s="18" t="str">
        <f t="shared" si="5"/>
        <v/>
      </c>
      <c r="BJ18" s="18"/>
    </row>
    <row r="19" spans="1:62" ht="8.25" customHeight="1">
      <c r="A19" s="1"/>
      <c r="B19" s="2"/>
      <c r="C19" s="3"/>
      <c r="D19" s="65"/>
      <c r="E19" s="64"/>
      <c r="F19" s="4"/>
      <c r="G19" s="5"/>
      <c r="H19" s="6"/>
      <c r="I19" s="7"/>
      <c r="J19" s="7"/>
      <c r="K19" s="6"/>
      <c r="L19" s="7"/>
      <c r="M19" s="69"/>
      <c r="N19" s="12"/>
      <c r="O19" s="12"/>
      <c r="P19" s="2"/>
      <c r="Q19" s="56"/>
      <c r="R19" s="9"/>
      <c r="S19" s="10"/>
      <c r="T19" s="11"/>
      <c r="U19" s="12"/>
      <c r="V19" s="12"/>
      <c r="W19" s="12"/>
      <c r="X19" s="12"/>
      <c r="Y19" s="2"/>
      <c r="Z19" s="2"/>
      <c r="AA19" s="2"/>
      <c r="AB19" s="2"/>
      <c r="AC19" s="59"/>
      <c r="AD19" s="62"/>
      <c r="AE19" s="2"/>
      <c r="AF19" s="2"/>
      <c r="AG19" s="2"/>
      <c r="AH19" s="2"/>
      <c r="AI19" s="2"/>
      <c r="AJ19" s="12"/>
      <c r="AK19" s="12"/>
      <c r="AL19" s="12"/>
      <c r="AM19" s="13"/>
      <c r="AN19" s="11"/>
      <c r="AO19" s="12"/>
      <c r="AP19" s="4"/>
      <c r="AQ19" s="14"/>
      <c r="AR19" s="2"/>
      <c r="AS19" s="16"/>
      <c r="AT19" s="16"/>
      <c r="AU19" s="16"/>
      <c r="AV19" s="67"/>
      <c r="AW19" s="51"/>
      <c r="AX19" s="18"/>
      <c r="AY19" s="18" t="str">
        <f t="shared" si="0"/>
        <v/>
      </c>
      <c r="AZ19" s="18" t="str">
        <f t="shared" si="1"/>
        <v/>
      </c>
      <c r="BA19" s="18"/>
      <c r="BB19" s="18"/>
      <c r="BC19" s="18"/>
      <c r="BD19" s="18"/>
      <c r="BE19" s="18" t="str">
        <f t="shared" si="2"/>
        <v/>
      </c>
      <c r="BF19" s="18" t="str">
        <f t="shared" si="3"/>
        <v/>
      </c>
      <c r="BG19" s="18"/>
      <c r="BH19" s="18" t="str">
        <f t="shared" si="4"/>
        <v/>
      </c>
      <c r="BI19" s="18" t="str">
        <f t="shared" si="5"/>
        <v/>
      </c>
      <c r="BJ19" s="18"/>
    </row>
    <row r="20" spans="1:62" ht="8.25" customHeight="1">
      <c r="A20" s="1"/>
      <c r="B20" s="2"/>
      <c r="C20" s="3"/>
      <c r="D20" s="65"/>
      <c r="E20" s="64"/>
      <c r="F20" s="4"/>
      <c r="G20" s="5"/>
      <c r="H20" s="6"/>
      <c r="I20" s="7"/>
      <c r="J20" s="7"/>
      <c r="K20" s="6"/>
      <c r="L20" s="7"/>
      <c r="M20" s="69"/>
      <c r="N20" s="96"/>
      <c r="O20" s="96"/>
      <c r="P20" s="2"/>
      <c r="Q20" s="56"/>
      <c r="R20" s="9"/>
      <c r="S20" s="10"/>
      <c r="T20" s="11"/>
      <c r="U20" s="12"/>
      <c r="V20" s="12"/>
      <c r="W20" s="12"/>
      <c r="X20" s="12"/>
      <c r="Y20" s="2"/>
      <c r="Z20" s="2"/>
      <c r="AA20" s="2"/>
      <c r="AB20" s="2"/>
      <c r="AC20" s="59"/>
      <c r="AD20" s="62"/>
      <c r="AE20" s="2"/>
      <c r="AF20" s="2"/>
      <c r="AG20" s="2"/>
      <c r="AH20" s="2"/>
      <c r="AI20" s="2"/>
      <c r="AJ20" s="12"/>
      <c r="AK20" s="12"/>
      <c r="AL20" s="12"/>
      <c r="AM20" s="13"/>
      <c r="AN20" s="11"/>
      <c r="AO20" s="12"/>
      <c r="AP20" s="4"/>
      <c r="AQ20" s="14"/>
      <c r="AR20" s="2"/>
      <c r="AS20" s="15"/>
      <c r="AT20" s="16"/>
      <c r="AU20" s="15"/>
      <c r="AV20" s="66"/>
      <c r="AW20" s="17"/>
      <c r="AX20" s="18"/>
      <c r="AY20" s="18" t="str">
        <f t="shared" si="0"/>
        <v/>
      </c>
      <c r="AZ20" s="18" t="str">
        <f t="shared" si="1"/>
        <v/>
      </c>
      <c r="BA20" s="18"/>
      <c r="BB20" s="18"/>
      <c r="BC20" s="18"/>
      <c r="BD20" s="18"/>
      <c r="BE20" s="18" t="str">
        <f t="shared" si="2"/>
        <v/>
      </c>
      <c r="BF20" s="18" t="str">
        <f t="shared" si="3"/>
        <v/>
      </c>
      <c r="BG20" s="18"/>
      <c r="BH20" s="18" t="str">
        <f t="shared" si="4"/>
        <v/>
      </c>
      <c r="BI20" s="18" t="str">
        <f t="shared" si="5"/>
        <v/>
      </c>
      <c r="BJ20" s="18"/>
    </row>
    <row r="21" spans="1:62" ht="8.25" customHeight="1">
      <c r="A21" s="1"/>
      <c r="B21" s="2"/>
      <c r="C21" s="3"/>
      <c r="D21" s="65"/>
      <c r="E21" s="64"/>
      <c r="F21" s="4"/>
      <c r="G21" s="5"/>
      <c r="H21" s="6"/>
      <c r="I21" s="7"/>
      <c r="J21" s="7"/>
      <c r="K21" s="6"/>
      <c r="L21" s="7"/>
      <c r="M21" s="69"/>
      <c r="N21" s="96"/>
      <c r="O21" s="96"/>
      <c r="P21" s="2"/>
      <c r="Q21" s="56"/>
      <c r="R21" s="9"/>
      <c r="S21" s="10"/>
      <c r="T21" s="11"/>
      <c r="U21" s="12"/>
      <c r="V21" s="12"/>
      <c r="W21" s="12"/>
      <c r="X21" s="12"/>
      <c r="Y21" s="2"/>
      <c r="Z21" s="2"/>
      <c r="AA21" s="2"/>
      <c r="AB21" s="2"/>
      <c r="AC21" s="59"/>
      <c r="AD21" s="62"/>
      <c r="AE21" s="2"/>
      <c r="AF21" s="2"/>
      <c r="AG21" s="2"/>
      <c r="AH21" s="2"/>
      <c r="AI21" s="2"/>
      <c r="AJ21" s="12"/>
      <c r="AK21" s="12"/>
      <c r="AL21" s="12"/>
      <c r="AM21" s="13"/>
      <c r="AN21" s="11"/>
      <c r="AO21" s="12"/>
      <c r="AP21" s="4"/>
      <c r="AQ21" s="14"/>
      <c r="AR21" s="2"/>
      <c r="AS21" s="15"/>
      <c r="AT21" s="16"/>
      <c r="AU21" s="15"/>
      <c r="AV21" s="66"/>
      <c r="AW21" s="17"/>
      <c r="AX21" s="18"/>
      <c r="AY21" s="18" t="str">
        <f t="shared" si="0"/>
        <v/>
      </c>
      <c r="AZ21" s="18" t="str">
        <f t="shared" si="1"/>
        <v/>
      </c>
      <c r="BA21" s="18"/>
      <c r="BB21" s="18"/>
      <c r="BC21" s="18"/>
      <c r="BD21" s="18"/>
      <c r="BE21" s="18" t="str">
        <f t="shared" si="2"/>
        <v/>
      </c>
      <c r="BF21" s="18" t="str">
        <f t="shared" si="3"/>
        <v/>
      </c>
      <c r="BG21" s="18"/>
      <c r="BH21" s="18" t="str">
        <f t="shared" si="4"/>
        <v/>
      </c>
      <c r="BI21" s="18" t="str">
        <f t="shared" si="5"/>
        <v/>
      </c>
      <c r="BJ21" s="18"/>
    </row>
    <row r="22" spans="1:62" ht="8.25" customHeight="1">
      <c r="A22" s="1"/>
      <c r="B22" s="2"/>
      <c r="C22" s="3"/>
      <c r="D22" s="65"/>
      <c r="E22" s="64"/>
      <c r="F22" s="4"/>
      <c r="G22" s="5"/>
      <c r="H22" s="6"/>
      <c r="I22" s="7"/>
      <c r="J22" s="7"/>
      <c r="K22" s="6"/>
      <c r="L22" s="7"/>
      <c r="M22" s="69"/>
      <c r="N22" s="96"/>
      <c r="O22" s="96"/>
      <c r="P22" s="2"/>
      <c r="Q22" s="56"/>
      <c r="R22" s="9"/>
      <c r="S22" s="10"/>
      <c r="T22" s="11"/>
      <c r="U22" s="12"/>
      <c r="V22" s="12"/>
      <c r="W22" s="12"/>
      <c r="X22" s="12"/>
      <c r="Y22" s="2"/>
      <c r="Z22" s="2"/>
      <c r="AA22" s="2"/>
      <c r="AB22" s="2"/>
      <c r="AC22" s="59"/>
      <c r="AD22" s="62"/>
      <c r="AE22" s="2"/>
      <c r="AF22" s="2"/>
      <c r="AG22" s="2"/>
      <c r="AH22" s="2"/>
      <c r="AI22" s="2"/>
      <c r="AJ22" s="12"/>
      <c r="AK22" s="12"/>
      <c r="AL22" s="12"/>
      <c r="AM22" s="13"/>
      <c r="AN22" s="11"/>
      <c r="AO22" s="12"/>
      <c r="AP22" s="4"/>
      <c r="AQ22" s="14"/>
      <c r="AR22" s="2"/>
      <c r="AS22" s="15"/>
      <c r="AT22" s="16"/>
      <c r="AU22" s="15"/>
      <c r="AV22" s="66"/>
      <c r="AW22" s="17"/>
      <c r="AX22" s="18"/>
      <c r="AY22" s="18" t="str">
        <f t="shared" si="0"/>
        <v/>
      </c>
      <c r="AZ22" s="18" t="str">
        <f t="shared" si="1"/>
        <v/>
      </c>
      <c r="BA22" s="18"/>
      <c r="BB22" s="18"/>
      <c r="BC22" s="18"/>
      <c r="BD22" s="18"/>
      <c r="BE22" s="18" t="str">
        <f t="shared" si="2"/>
        <v/>
      </c>
      <c r="BF22" s="18" t="str">
        <f t="shared" si="3"/>
        <v/>
      </c>
      <c r="BG22" s="18"/>
      <c r="BH22" s="18" t="str">
        <f t="shared" si="4"/>
        <v/>
      </c>
      <c r="BI22" s="18" t="str">
        <f t="shared" si="5"/>
        <v/>
      </c>
      <c r="BJ22" s="18"/>
    </row>
    <row r="23" spans="1:62" ht="8.25" customHeight="1" thickBot="1">
      <c r="A23" s="31"/>
      <c r="B23" s="32"/>
      <c r="C23" s="33"/>
      <c r="D23" s="35"/>
      <c r="E23" s="36"/>
      <c r="F23" s="35"/>
      <c r="G23" s="36"/>
      <c r="H23" s="32"/>
      <c r="I23" s="37"/>
      <c r="J23" s="37"/>
      <c r="K23" s="32"/>
      <c r="L23" s="37"/>
      <c r="M23" s="70"/>
      <c r="N23" s="97"/>
      <c r="O23" s="97"/>
      <c r="P23" s="32"/>
      <c r="Q23" s="57"/>
      <c r="R23" s="41"/>
      <c r="S23" s="42"/>
      <c r="T23" s="43"/>
      <c r="U23" s="39"/>
      <c r="V23" s="39"/>
      <c r="W23" s="39"/>
      <c r="X23" s="39"/>
      <c r="Y23" s="39"/>
      <c r="Z23" s="39"/>
      <c r="AA23" s="39"/>
      <c r="AB23" s="39"/>
      <c r="AC23" s="60"/>
      <c r="AD23" s="63"/>
      <c r="AE23" s="39"/>
      <c r="AF23" s="39"/>
      <c r="AG23" s="39"/>
      <c r="AH23" s="39"/>
      <c r="AI23" s="39"/>
      <c r="AJ23" s="39"/>
      <c r="AK23" s="39"/>
      <c r="AL23" s="39"/>
      <c r="AM23" s="40"/>
      <c r="AN23" s="43"/>
      <c r="AO23" s="39"/>
      <c r="AP23" s="35"/>
      <c r="AQ23" s="43"/>
      <c r="AR23" s="37"/>
      <c r="AS23" s="37"/>
      <c r="AT23" s="32"/>
      <c r="AU23" s="37"/>
      <c r="AV23" s="38"/>
      <c r="AW23" s="44"/>
      <c r="AX23" s="18"/>
      <c r="AY23" s="18" t="str">
        <f t="shared" si="0"/>
        <v/>
      </c>
      <c r="AZ23" s="18" t="str">
        <f t="shared" si="1"/>
        <v/>
      </c>
      <c r="BA23" s="18" t="str">
        <f>IF(AND($AQ23="TC",NOT(ISBLANK($AU23))),$AU23,"")</f>
        <v/>
      </c>
      <c r="BB23" s="18"/>
      <c r="BC23" s="18"/>
      <c r="BD23" s="18"/>
      <c r="BE23" s="18" t="str">
        <f t="shared" si="2"/>
        <v/>
      </c>
      <c r="BF23" s="18" t="str">
        <f t="shared" si="3"/>
        <v/>
      </c>
      <c r="BG23" s="18" t="str">
        <f>IF(AND($AQ23="HTS",NOT(ISBLANK($AU23))),$AU23,"")</f>
        <v/>
      </c>
      <c r="BH23" s="18" t="str">
        <f t="shared" si="4"/>
        <v/>
      </c>
      <c r="BI23" s="18" t="str">
        <f t="shared" si="5"/>
        <v/>
      </c>
      <c r="BJ23" s="18" t="str">
        <f>IF(AND($AQ23="HAST",NOT(ISBLANK($AU23))),$AU23,"")</f>
        <v/>
      </c>
    </row>
    <row r="24" spans="1:62" ht="9" customHeight="1" thickBot="1">
      <c r="A24" s="78"/>
      <c r="B24" s="74"/>
      <c r="C24" s="18"/>
      <c r="D24" s="18"/>
      <c r="E24" s="78"/>
      <c r="F24" s="78"/>
      <c r="G24" s="79"/>
      <c r="H24" s="18"/>
      <c r="I24" s="79"/>
      <c r="J24" s="78"/>
      <c r="K24" s="75"/>
      <c r="L24" s="78"/>
      <c r="M24" s="337"/>
      <c r="N24" s="368"/>
      <c r="O24" s="368"/>
      <c r="P24" s="78"/>
      <c r="Q24" s="78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18"/>
      <c r="AZ24" s="18"/>
      <c r="BA24" s="18"/>
      <c r="BB24" s="79"/>
      <c r="BC24" s="79"/>
      <c r="BD24" s="79"/>
      <c r="BE24" s="18"/>
      <c r="BF24" s="18"/>
      <c r="BG24" s="18"/>
      <c r="BH24" s="18"/>
      <c r="BI24" s="18"/>
      <c r="BJ24" s="18"/>
    </row>
    <row r="25" spans="1:62" ht="8.25" customHeight="1">
      <c r="A25" s="78"/>
      <c r="B25" s="74"/>
      <c r="C25" s="78"/>
      <c r="D25" s="78"/>
      <c r="E25" s="78"/>
      <c r="F25" s="78"/>
      <c r="G25" s="79"/>
      <c r="H25" s="18"/>
      <c r="I25" s="79"/>
      <c r="J25" s="78"/>
      <c r="K25" s="75"/>
      <c r="L25" s="78"/>
      <c r="M25" s="337"/>
      <c r="N25" s="368"/>
      <c r="O25" s="368"/>
      <c r="P25" s="78"/>
      <c r="Q25" s="78"/>
      <c r="R25" s="79"/>
      <c r="S25" s="91" t="s">
        <v>59</v>
      </c>
      <c r="T25" s="86" t="e">
        <f>AVERAGE(T$5:T23)</f>
        <v>#DIV/0!</v>
      </c>
      <c r="U25" s="86" t="e">
        <f>AVERAGE(U$5:U23)</f>
        <v>#DIV/0!</v>
      </c>
      <c r="V25" s="86" t="e">
        <f>AVERAGE(V$5:V23)</f>
        <v>#DIV/0!</v>
      </c>
      <c r="W25" s="86" t="e">
        <f>AVERAGE(W$5:W23)</f>
        <v>#DIV/0!</v>
      </c>
      <c r="X25" s="86" t="e">
        <f>AVERAGE(X$5:X23)</f>
        <v>#DIV/0!</v>
      </c>
      <c r="Y25" s="86" t="e">
        <f>AVERAGE(Y$5:Y23)</f>
        <v>#DIV/0!</v>
      </c>
      <c r="Z25" s="86" t="e">
        <f>AVERAGE(Z$5:Z23)</f>
        <v>#DIV/0!</v>
      </c>
      <c r="AA25" s="86" t="e">
        <f>AVERAGE(AA$5:AA23)</f>
        <v>#DIV/0!</v>
      </c>
      <c r="AB25" s="86" t="e">
        <f>AVERAGE(AB$5:AB23)</f>
        <v>#DIV/0!</v>
      </c>
      <c r="AC25" s="86" t="e">
        <f>AVERAGE(AC$5:AC23)</f>
        <v>#DIV/0!</v>
      </c>
      <c r="AD25" s="86" t="e">
        <f>AVERAGE(AD$5:AD23)</f>
        <v>#DIV/0!</v>
      </c>
      <c r="AE25" s="86" t="e">
        <f>AVERAGE(AE$5:AE23)</f>
        <v>#DIV/0!</v>
      </c>
      <c r="AF25" s="86" t="e">
        <f>AVERAGE(AF$5:AF23)</f>
        <v>#DIV/0!</v>
      </c>
      <c r="AG25" s="86" t="e">
        <f>AVERAGE(AG$5:AG23)</f>
        <v>#DIV/0!</v>
      </c>
      <c r="AH25" s="86" t="e">
        <f>AVERAGE(AH$5:AH23)</f>
        <v>#DIV/0!</v>
      </c>
      <c r="AI25" s="86" t="e">
        <f>AVERAGE(AI$5:AI23)</f>
        <v>#DIV/0!</v>
      </c>
      <c r="AJ25" s="86" t="e">
        <f>AVERAGE(AJ$5:AJ23)</f>
        <v>#DIV/0!</v>
      </c>
      <c r="AK25" s="87" t="e">
        <f>AVERAGE(AK$5:AK23)</f>
        <v>#DIV/0!</v>
      </c>
      <c r="AL25" s="83" t="e">
        <f>AVERAGE(AL$5:AL23)</f>
        <v>#DIV/0!</v>
      </c>
      <c r="AM25" s="46" t="e">
        <f>AVERAGE(AM$5:AM23)</f>
        <v>#DIV/0!</v>
      </c>
      <c r="AN25" s="80"/>
      <c r="AO25" s="79"/>
      <c r="AP25" s="79"/>
      <c r="AQ25" s="47" t="s">
        <v>60</v>
      </c>
      <c r="AR25" s="45" t="s">
        <v>61</v>
      </c>
      <c r="AS25" s="45" t="s">
        <v>62</v>
      </c>
      <c r="AT25" s="46" t="s">
        <v>41</v>
      </c>
      <c r="AU25" s="79"/>
      <c r="AV25" s="79"/>
      <c r="AW25" s="79"/>
      <c r="AX25" s="79"/>
      <c r="AY25" s="76">
        <f t="shared" ref="AY25:BJ25" si="6">SUM(AY5:AY23)</f>
        <v>0</v>
      </c>
      <c r="AZ25" s="76">
        <f t="shared" si="6"/>
        <v>0</v>
      </c>
      <c r="BA25" s="76">
        <f t="shared" si="6"/>
        <v>0</v>
      </c>
      <c r="BB25" s="76">
        <f t="shared" si="6"/>
        <v>0</v>
      </c>
      <c r="BC25" s="76">
        <f t="shared" si="6"/>
        <v>0</v>
      </c>
      <c r="BD25" s="76">
        <f t="shared" si="6"/>
        <v>0</v>
      </c>
      <c r="BE25" s="76">
        <f t="shared" si="6"/>
        <v>0</v>
      </c>
      <c r="BF25" s="76">
        <f t="shared" si="6"/>
        <v>0</v>
      </c>
      <c r="BG25" s="76">
        <f t="shared" si="6"/>
        <v>0</v>
      </c>
      <c r="BH25" s="76">
        <f t="shared" si="6"/>
        <v>0</v>
      </c>
      <c r="BI25" s="76">
        <f t="shared" si="6"/>
        <v>0</v>
      </c>
      <c r="BJ25" s="76">
        <f t="shared" si="6"/>
        <v>0</v>
      </c>
    </row>
    <row r="26" spans="1:62" ht="8.25" customHeight="1">
      <c r="A26" s="78"/>
      <c r="B26" s="74"/>
      <c r="C26" s="78"/>
      <c r="D26" s="78"/>
      <c r="E26" s="78"/>
      <c r="F26" s="78"/>
      <c r="G26" s="79"/>
      <c r="H26" s="18"/>
      <c r="I26" s="79"/>
      <c r="J26" s="78"/>
      <c r="K26" s="75"/>
      <c r="L26" s="78"/>
      <c r="M26" s="337"/>
      <c r="N26" s="368"/>
      <c r="O26" s="368"/>
      <c r="P26" s="78"/>
      <c r="Q26" s="78"/>
      <c r="R26" s="79"/>
      <c r="S26" s="92" t="s">
        <v>63</v>
      </c>
      <c r="T26" s="2">
        <f>MIN(T$5:T23)</f>
        <v>0</v>
      </c>
      <c r="U26" s="2">
        <f>MIN(U$5:U23)</f>
        <v>0</v>
      </c>
      <c r="V26" s="2">
        <f>MIN(V$5:V23)</f>
        <v>0</v>
      </c>
      <c r="W26" s="2">
        <f>MIN(W$5:W23)</f>
        <v>0</v>
      </c>
      <c r="X26" s="2">
        <f>MIN(X$5:X23)</f>
        <v>0</v>
      </c>
      <c r="Y26" s="2">
        <f>MIN(Y$5:Y23)</f>
        <v>0</v>
      </c>
      <c r="Z26" s="2">
        <f>MIN(Z$5:Z23)</f>
        <v>0</v>
      </c>
      <c r="AA26" s="2">
        <f>MIN(AA$5:AA23)</f>
        <v>0</v>
      </c>
      <c r="AB26" s="2">
        <f>MIN(AB$5:AB23)</f>
        <v>0</v>
      </c>
      <c r="AC26" s="2">
        <f>MIN(AC$5:AC23)</f>
        <v>0</v>
      </c>
      <c r="AD26" s="2">
        <f>MIN(AD$5:AD23)</f>
        <v>0</v>
      </c>
      <c r="AE26" s="2">
        <f>MIN(AE$5:AE23)</f>
        <v>0</v>
      </c>
      <c r="AF26" s="2">
        <f>MIN(AF$5:AF23)</f>
        <v>0</v>
      </c>
      <c r="AG26" s="2">
        <f>MIN(AG$5:AG23)</f>
        <v>0</v>
      </c>
      <c r="AH26" s="2">
        <f>MIN(AH$5:AH23)</f>
        <v>0</v>
      </c>
      <c r="AI26" s="2">
        <f>MIN(AI$5:AI23)</f>
        <v>0</v>
      </c>
      <c r="AJ26" s="2">
        <f>MIN(AJ$5:AJ23)</f>
        <v>0</v>
      </c>
      <c r="AK26" s="88">
        <f>MIN(AK$5:AK23)</f>
        <v>0</v>
      </c>
      <c r="AL26" s="84">
        <f>MIN(AL$5:AL23)</f>
        <v>0</v>
      </c>
      <c r="AM26" s="29">
        <f>MIN(AM$5:AM23)</f>
        <v>0</v>
      </c>
      <c r="AN26" s="80"/>
      <c r="AO26" s="79"/>
      <c r="AP26" s="79"/>
      <c r="AQ26" s="48" t="s">
        <v>64</v>
      </c>
      <c r="AR26" s="2" t="s">
        <v>65</v>
      </c>
      <c r="AS26" s="2">
        <f>SUM(AO5:AO23)</f>
        <v>0</v>
      </c>
      <c r="AT26" s="29">
        <f>SUM(AN5:AN23)</f>
        <v>0</v>
      </c>
      <c r="AU26" s="79"/>
      <c r="AV26" s="79"/>
      <c r="AW26" s="79"/>
      <c r="AX26" s="79"/>
      <c r="AY26" s="81" t="s">
        <v>45</v>
      </c>
      <c r="AZ26" s="81" t="s">
        <v>46</v>
      </c>
      <c r="BA26" s="81" t="s">
        <v>47</v>
      </c>
      <c r="BB26" s="81" t="s">
        <v>48</v>
      </c>
      <c r="BC26" s="81" t="s">
        <v>49</v>
      </c>
      <c r="BD26" s="81" t="s">
        <v>50</v>
      </c>
      <c r="BE26" s="81" t="s">
        <v>51</v>
      </c>
      <c r="BF26" s="81" t="s">
        <v>52</v>
      </c>
      <c r="BG26" s="81" t="s">
        <v>53</v>
      </c>
      <c r="BH26" s="81" t="s">
        <v>54</v>
      </c>
      <c r="BI26" s="77" t="s">
        <v>55</v>
      </c>
      <c r="BJ26" s="81" t="s">
        <v>56</v>
      </c>
    </row>
    <row r="27" spans="1:62" ht="8.25" customHeight="1">
      <c r="A27" s="78"/>
      <c r="B27" s="74"/>
      <c r="C27" s="78"/>
      <c r="D27" s="78"/>
      <c r="E27" s="78"/>
      <c r="F27" s="78"/>
      <c r="G27" s="79"/>
      <c r="H27" s="18"/>
      <c r="I27" s="79"/>
      <c r="J27" s="78"/>
      <c r="K27" s="75"/>
      <c r="L27" s="78"/>
      <c r="M27" s="337"/>
      <c r="N27" s="368"/>
      <c r="O27" s="368"/>
      <c r="P27" s="78"/>
      <c r="Q27" s="78"/>
      <c r="R27" s="79"/>
      <c r="S27" s="92" t="s">
        <v>146</v>
      </c>
      <c r="T27" s="2">
        <f>MAX(T$5:T23)</f>
        <v>0</v>
      </c>
      <c r="U27" s="2">
        <f>MAX(U$5:U23)</f>
        <v>0</v>
      </c>
      <c r="V27" s="2">
        <f>MAX(V$5:V23)</f>
        <v>0</v>
      </c>
      <c r="W27" s="2">
        <f>MAX(W$5:W23)</f>
        <v>0</v>
      </c>
      <c r="X27" s="2">
        <f>MAX(X$5:X23)</f>
        <v>0</v>
      </c>
      <c r="Y27" s="2">
        <f>MAX(Y$5:Y23)</f>
        <v>0</v>
      </c>
      <c r="Z27" s="2">
        <f>MAX(Z$5:Z23)</f>
        <v>0</v>
      </c>
      <c r="AA27" s="2">
        <f>MAX(AA$5:AA23)</f>
        <v>0</v>
      </c>
      <c r="AB27" s="2">
        <f>MAX(AB$5:AB23)</f>
        <v>0</v>
      </c>
      <c r="AC27" s="2">
        <f>MAX(AC$5:AC23)</f>
        <v>0</v>
      </c>
      <c r="AD27" s="2">
        <f>MAX(AD$5:AD23)</f>
        <v>0</v>
      </c>
      <c r="AE27" s="2">
        <f>MAX(AE$5:AE23)</f>
        <v>0</v>
      </c>
      <c r="AF27" s="2">
        <f>MAX(AF$5:AF23)</f>
        <v>0</v>
      </c>
      <c r="AG27" s="2">
        <f>MAX(AG$5:AG23)</f>
        <v>0</v>
      </c>
      <c r="AH27" s="2">
        <f>MAX(AH$5:AH23)</f>
        <v>0</v>
      </c>
      <c r="AI27" s="2">
        <f>MAX(AI$5:AI23)</f>
        <v>0</v>
      </c>
      <c r="AJ27" s="2">
        <f>MAX(AJ$5:AJ23)</f>
        <v>0</v>
      </c>
      <c r="AK27" s="88">
        <f>MAX(AK$5:AK23)</f>
        <v>0</v>
      </c>
      <c r="AL27" s="84">
        <f>MAX(AL$5:AL23)</f>
        <v>0</v>
      </c>
      <c r="AM27" s="29">
        <f>MAX(AM$5:AM23)</f>
        <v>0</v>
      </c>
      <c r="AN27" s="80"/>
      <c r="AO27" s="79"/>
      <c r="AP27" s="79"/>
      <c r="AQ27" s="48" t="s">
        <v>46</v>
      </c>
      <c r="AR27" s="2">
        <f>AY25</f>
        <v>0</v>
      </c>
      <c r="AS27" s="2">
        <f>AZ25</f>
        <v>0</v>
      </c>
      <c r="AT27" s="29">
        <f>BA25</f>
        <v>0</v>
      </c>
      <c r="AU27" s="79"/>
      <c r="AV27" s="79"/>
      <c r="AW27" s="79"/>
      <c r="AX27" s="79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</row>
    <row r="28" spans="1:62" ht="8.25" customHeight="1">
      <c r="A28" s="78"/>
      <c r="B28" s="74"/>
      <c r="C28" s="78"/>
      <c r="D28" s="78"/>
      <c r="E28" s="78"/>
      <c r="F28" s="78"/>
      <c r="G28" s="79"/>
      <c r="H28" s="18"/>
      <c r="I28" s="79"/>
      <c r="J28" s="78"/>
      <c r="K28" s="75"/>
      <c r="L28" s="78"/>
      <c r="M28" s="18"/>
      <c r="N28" s="18"/>
      <c r="O28" s="18"/>
      <c r="P28" s="78"/>
      <c r="Q28" s="78"/>
      <c r="R28" s="79"/>
      <c r="S28" s="92" t="s">
        <v>66</v>
      </c>
      <c r="T28" s="2" t="e">
        <f>STDEV(T$5:T23)</f>
        <v>#DIV/0!</v>
      </c>
      <c r="U28" s="2" t="e">
        <f>STDEV(U$5:U23)</f>
        <v>#DIV/0!</v>
      </c>
      <c r="V28" s="2" t="e">
        <f>STDEV(V$5:V23)</f>
        <v>#DIV/0!</v>
      </c>
      <c r="W28" s="2" t="e">
        <f>STDEV(W$5:W23)</f>
        <v>#DIV/0!</v>
      </c>
      <c r="X28" s="2" t="e">
        <f>STDEV(X$5:X23)</f>
        <v>#DIV/0!</v>
      </c>
      <c r="Y28" s="2" t="e">
        <f>STDEV(Y$5:Y23)</f>
        <v>#DIV/0!</v>
      </c>
      <c r="Z28" s="2" t="e">
        <f>STDEV(Z$5:Z23)</f>
        <v>#DIV/0!</v>
      </c>
      <c r="AA28" s="2" t="e">
        <f>STDEV(AA$5:AA23)</f>
        <v>#DIV/0!</v>
      </c>
      <c r="AB28" s="2" t="e">
        <f>STDEV(AB$5:AB23)</f>
        <v>#DIV/0!</v>
      </c>
      <c r="AC28" s="2" t="e">
        <f>STDEV(AC$5:AC23)</f>
        <v>#DIV/0!</v>
      </c>
      <c r="AD28" s="2" t="e">
        <f>STDEV(AD$5:AD23)</f>
        <v>#DIV/0!</v>
      </c>
      <c r="AE28" s="2" t="e">
        <f>STDEV(AE$5:AE23)</f>
        <v>#DIV/0!</v>
      </c>
      <c r="AF28" s="2" t="e">
        <f>STDEV(AF$5:AF23)</f>
        <v>#DIV/0!</v>
      </c>
      <c r="AG28" s="2" t="e">
        <f>STDEV(AG$5:AG23)</f>
        <v>#DIV/0!</v>
      </c>
      <c r="AH28" s="2" t="e">
        <f>STDEV(AH$5:AH23)</f>
        <v>#DIV/0!</v>
      </c>
      <c r="AI28" s="2" t="e">
        <f>STDEV(AI$5:AI23)</f>
        <v>#DIV/0!</v>
      </c>
      <c r="AJ28" s="2" t="e">
        <f>STDEV(AJ$5:AJ23)</f>
        <v>#DIV/0!</v>
      </c>
      <c r="AK28" s="88" t="e">
        <f>STDEV(AK$5:AK23)</f>
        <v>#DIV/0!</v>
      </c>
      <c r="AL28" s="84" t="e">
        <f>STDEV(AL$5:AL23)</f>
        <v>#DIV/0!</v>
      </c>
      <c r="AM28" s="29" t="e">
        <f>STDEV(AM$5:AM23)</f>
        <v>#DIV/0!</v>
      </c>
      <c r="AN28" s="80"/>
      <c r="AO28" s="79"/>
      <c r="AP28" s="79"/>
      <c r="AQ28" s="48" t="s">
        <v>49</v>
      </c>
      <c r="AR28" s="2">
        <f>BB25</f>
        <v>0</v>
      </c>
      <c r="AS28" s="2">
        <f>BC25</f>
        <v>0</v>
      </c>
      <c r="AT28" s="29">
        <f>BD25</f>
        <v>0</v>
      </c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</row>
    <row r="29" spans="1:62" ht="9" customHeight="1" thickBot="1">
      <c r="A29" s="78"/>
      <c r="B29" s="74"/>
      <c r="C29" s="78"/>
      <c r="D29" s="78"/>
      <c r="E29" s="78"/>
      <c r="F29" s="78"/>
      <c r="G29" s="79"/>
      <c r="H29" s="18"/>
      <c r="I29" s="79"/>
      <c r="J29" s="78"/>
      <c r="K29" s="75"/>
      <c r="L29" s="78"/>
      <c r="M29" s="18"/>
      <c r="N29" s="18"/>
      <c r="O29" s="18"/>
      <c r="P29" s="78"/>
      <c r="Q29" s="78"/>
      <c r="R29" s="79"/>
      <c r="S29" s="93" t="s">
        <v>67</v>
      </c>
      <c r="T29" s="89" t="e">
        <f t="shared" ref="T29:Y29" si="7">IF(T25+(3*T28)&gt;100,100,T25+(3*T28))</f>
        <v>#DIV/0!</v>
      </c>
      <c r="U29" s="89" t="e">
        <f t="shared" si="7"/>
        <v>#DIV/0!</v>
      </c>
      <c r="V29" s="89" t="e">
        <f t="shared" si="7"/>
        <v>#DIV/0!</v>
      </c>
      <c r="W29" s="89" t="e">
        <f t="shared" si="7"/>
        <v>#DIV/0!</v>
      </c>
      <c r="X29" s="89" t="e">
        <f>IF(X25+(3*X28)&gt;100,100,X25+(3*X28))</f>
        <v>#DIV/0!</v>
      </c>
      <c r="Y29" s="89" t="e">
        <f t="shared" si="7"/>
        <v>#DIV/0!</v>
      </c>
      <c r="Z29" s="89" t="e">
        <f t="shared" ref="Z29:AA29" si="8">IF(Z25+(3*Z28)&gt;100,100,Z25+(3*Z28))</f>
        <v>#DIV/0!</v>
      </c>
      <c r="AA29" s="89" t="e">
        <f t="shared" si="8"/>
        <v>#DIV/0!</v>
      </c>
      <c r="AB29" s="89" t="e">
        <f t="shared" ref="AB29:AI29" si="9">IF(AB25+(3*AB28)&gt;100,100,AB25+(3*AB28))</f>
        <v>#DIV/0!</v>
      </c>
      <c r="AC29" s="89" t="e">
        <f t="shared" si="9"/>
        <v>#DIV/0!</v>
      </c>
      <c r="AD29" s="89" t="e">
        <f t="shared" si="9"/>
        <v>#DIV/0!</v>
      </c>
      <c r="AE29" s="89" t="e">
        <f t="shared" si="9"/>
        <v>#DIV/0!</v>
      </c>
      <c r="AF29" s="89" t="e">
        <f t="shared" si="9"/>
        <v>#DIV/0!</v>
      </c>
      <c r="AG29" s="89" t="e">
        <f t="shared" si="9"/>
        <v>#DIV/0!</v>
      </c>
      <c r="AH29" s="89" t="e">
        <f t="shared" si="9"/>
        <v>#DIV/0!</v>
      </c>
      <c r="AI29" s="89" t="e">
        <f t="shared" si="9"/>
        <v>#DIV/0!</v>
      </c>
      <c r="AJ29" s="89" t="e">
        <f t="shared" ref="AJ29:AK29" si="10">IF(AJ25+(3*AJ28)&gt;100,100,AJ25+(3*AJ28))</f>
        <v>#DIV/0!</v>
      </c>
      <c r="AK29" s="90" t="e">
        <f t="shared" si="10"/>
        <v>#DIV/0!</v>
      </c>
      <c r="AL29" s="85" t="e">
        <f>IF(AL25+(3*AL28)&gt;100,100,AL25+(3*AL28))</f>
        <v>#DIV/0!</v>
      </c>
      <c r="AM29" s="49" t="e">
        <f>IF(AM25+(3*AM28)&gt;100,100,AM25+(3*AM28))</f>
        <v>#DIV/0!</v>
      </c>
      <c r="AN29" s="80"/>
      <c r="AO29" s="79"/>
      <c r="AP29" s="79"/>
      <c r="AQ29" s="48" t="s">
        <v>52</v>
      </c>
      <c r="AR29" s="2">
        <f>BE25</f>
        <v>0</v>
      </c>
      <c r="AS29" s="2">
        <f>BF25</f>
        <v>0</v>
      </c>
      <c r="AT29" s="29">
        <f>BG25</f>
        <v>0</v>
      </c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</row>
    <row r="30" spans="1:62" ht="9" customHeight="1" thickBot="1">
      <c r="A30" s="78"/>
      <c r="B30" s="74"/>
      <c r="C30" s="78"/>
      <c r="D30" s="78"/>
      <c r="E30" s="78"/>
      <c r="F30" s="78"/>
      <c r="G30" s="79"/>
      <c r="H30" s="18"/>
      <c r="I30" s="79"/>
      <c r="J30" s="78"/>
      <c r="K30" s="75"/>
      <c r="L30" s="78"/>
      <c r="M30" s="18"/>
      <c r="N30" s="18"/>
      <c r="O30" s="18"/>
      <c r="P30" s="78"/>
      <c r="Q30" s="78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80"/>
      <c r="AJ30" s="79"/>
      <c r="AK30" s="79"/>
      <c r="AL30" s="79"/>
      <c r="AM30" s="79"/>
      <c r="AN30" s="79"/>
      <c r="AO30" s="79"/>
      <c r="AP30" s="79"/>
      <c r="AQ30" s="50" t="s">
        <v>58</v>
      </c>
      <c r="AR30" s="32">
        <f>BH25</f>
        <v>0</v>
      </c>
      <c r="AS30" s="32">
        <f>BI25</f>
        <v>0</v>
      </c>
      <c r="AT30" s="49">
        <f>BJ25</f>
        <v>0</v>
      </c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18" t="str">
        <f>IF(AND($AQ30="HAST",NOT(ISBLANK($AU30))),$AW30*$AS30,"")</f>
        <v/>
      </c>
      <c r="BI30" s="18" t="str">
        <f>IF(AND($AQ30="HAST",NOT(ISBLANK($AU30))),$AW30,"")</f>
        <v/>
      </c>
      <c r="BJ30" s="18" t="str">
        <f>IF(AND($AQ30="HAST",NOT(ISBLANK($AU30))),$AU30,"")</f>
        <v/>
      </c>
    </row>
    <row r="31" spans="1:62" ht="8.25" customHeight="1">
      <c r="S31" s="18" t="s">
        <v>69</v>
      </c>
      <c r="T31" s="73"/>
      <c r="U31" s="73"/>
    </row>
    <row r="32" spans="1:62" ht="8.25" customHeight="1">
      <c r="S32" s="18"/>
      <c r="T32" s="82" t="s">
        <v>70</v>
      </c>
      <c r="U32" s="73"/>
    </row>
    <row r="33" spans="19:20" ht="8.25" customHeight="1">
      <c r="S33" s="18"/>
      <c r="T33" s="82" t="s">
        <v>71</v>
      </c>
    </row>
    <row r="34" spans="19:20" ht="8.25" customHeight="1">
      <c r="S34" s="18"/>
      <c r="T34" s="82" t="s">
        <v>72</v>
      </c>
    </row>
    <row r="35" spans="19:20" ht="8.25" customHeight="1">
      <c r="S35" s="18"/>
      <c r="T35" s="82" t="s">
        <v>73</v>
      </c>
    </row>
    <row r="36" spans="19:20" ht="8.25" customHeight="1">
      <c r="S36" s="18"/>
      <c r="T36" s="82" t="s">
        <v>74</v>
      </c>
    </row>
  </sheetData>
  <mergeCells count="39">
    <mergeCell ref="F3:F4"/>
    <mergeCell ref="G3:I3"/>
    <mergeCell ref="A1:D2"/>
    <mergeCell ref="E1:F2"/>
    <mergeCell ref="G1:Q2"/>
    <mergeCell ref="A3:A4"/>
    <mergeCell ref="B3:B4"/>
    <mergeCell ref="C3:C4"/>
    <mergeCell ref="D3:D4"/>
    <mergeCell ref="E3:E4"/>
    <mergeCell ref="J3:L3"/>
    <mergeCell ref="N3:N4"/>
    <mergeCell ref="X3:Y3"/>
    <mergeCell ref="Z3:AA3"/>
    <mergeCell ref="AB3:AC3"/>
    <mergeCell ref="O3:O4"/>
    <mergeCell ref="P3:P4"/>
    <mergeCell ref="R1:R4"/>
    <mergeCell ref="S1:S4"/>
    <mergeCell ref="T1:AC2"/>
    <mergeCell ref="Q3:Q4"/>
    <mergeCell ref="T3:U3"/>
    <mergeCell ref="V3:W3"/>
    <mergeCell ref="AD1:AM2"/>
    <mergeCell ref="AN1:AP2"/>
    <mergeCell ref="M27:O27"/>
    <mergeCell ref="AP3:AP4"/>
    <mergeCell ref="AQ3:AQ4"/>
    <mergeCell ref="AQ1:AW2"/>
    <mergeCell ref="AW3:AW4"/>
    <mergeCell ref="M24:O24"/>
    <mergeCell ref="M25:O25"/>
    <mergeCell ref="M26:O26"/>
    <mergeCell ref="AD3:AE3"/>
    <mergeCell ref="AF3:AG3"/>
    <mergeCell ref="AH3:AI3"/>
    <mergeCell ref="AJ3:AK3"/>
    <mergeCell ref="AL3:AM3"/>
    <mergeCell ref="AO3:AO4"/>
  </mergeCells>
  <conditionalFormatting sqref="AU5:AV22">
    <cfRule type="cellIs" dxfId="93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42"/>
  <sheetViews>
    <sheetView showGridLines="0" zoomScale="140" zoomScaleNormal="140" workbookViewId="0">
      <pane xSplit="5" ySplit="4" topLeftCell="S5" activePane="bottomRight" state="frozen"/>
      <selection activeCell="L23" sqref="L23"/>
      <selection pane="topRight" activeCell="L23" sqref="L23"/>
      <selection pane="bottomLeft" activeCell="L23" sqref="L23"/>
      <selection pane="bottomRight" activeCell="AI20" sqref="AI20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5.26953125" style="109" customWidth="1"/>
    <col min="7" max="7" width="1.54296875" style="109" customWidth="1"/>
    <col min="8" max="8" width="5.26953125" style="109" customWidth="1"/>
    <col min="9" max="9" width="6" style="109" customWidth="1"/>
    <col min="10" max="10" width="5.7265625" style="109" customWidth="1"/>
    <col min="11" max="11" width="9.54296875" style="109" customWidth="1"/>
    <col min="12" max="12" width="4.453125" style="143" customWidth="1"/>
    <col min="13" max="13" width="4.26953125" style="109" customWidth="1"/>
    <col min="14" max="14" width="9.1796875" style="109" customWidth="1"/>
    <col min="15" max="15" width="6.81640625" style="109" customWidth="1"/>
    <col min="16" max="16" width="14.81640625" style="109" customWidth="1"/>
    <col min="17" max="17" width="11" style="109" customWidth="1"/>
    <col min="18" max="18" width="8.54296875" style="109" customWidth="1"/>
    <col min="19" max="26" width="2.7265625" style="109" customWidth="1"/>
    <col min="27" max="28" width="2.7265625" style="109" hidden="1" customWidth="1"/>
    <col min="29" max="36" width="2.7265625" style="109" customWidth="1"/>
    <col min="37" max="38" width="2.7265625" style="109" hidden="1" customWidth="1"/>
    <col min="39" max="40" width="2.7265625" style="109" customWidth="1"/>
    <col min="41" max="41" width="5.54296875" style="109" customWidth="1"/>
    <col min="42" max="42" width="5" style="109" customWidth="1"/>
    <col min="43" max="43" width="7.54296875" style="109" customWidth="1"/>
    <col min="44" max="45" width="4.54296875" style="109" customWidth="1"/>
    <col min="46" max="46" width="2.7265625" style="109" customWidth="1"/>
    <col min="47" max="47" width="3" style="109" customWidth="1"/>
    <col min="48" max="48" width="1.26953125" style="109" customWidth="1"/>
    <col min="49" max="49" width="6.54296875" style="109" customWidth="1"/>
    <col min="50" max="50" width="3.7265625" style="109" customWidth="1"/>
    <col min="51" max="51" width="5.54296875" style="109" customWidth="1"/>
    <col min="52" max="54" width="2.81640625" style="109" hidden="1" customWidth="1"/>
    <col min="55" max="55" width="6.54296875" style="109" customWidth="1"/>
    <col min="56" max="56" width="4.26953125" style="109" customWidth="1"/>
    <col min="57" max="57" width="5.7265625" style="109" customWidth="1"/>
    <col min="58" max="58" width="6.7265625" style="109" customWidth="1"/>
    <col min="59" max="59" width="4.26953125" style="109" customWidth="1"/>
    <col min="60" max="60" width="6" style="109" customWidth="1"/>
    <col min="61" max="70" width="9.1796875" style="109" customWidth="1"/>
    <col min="71" max="16384" width="14.453125" style="109"/>
  </cols>
  <sheetData>
    <row r="1" spans="1:60" ht="10.5" customHeight="1">
      <c r="A1" s="322" t="s">
        <v>0</v>
      </c>
      <c r="B1" s="297"/>
      <c r="C1" s="298"/>
      <c r="D1" s="324" t="s">
        <v>1</v>
      </c>
      <c r="E1" s="298"/>
      <c r="F1" s="325" t="s">
        <v>2</v>
      </c>
      <c r="G1" s="326"/>
      <c r="H1" s="326"/>
      <c r="I1" s="326"/>
      <c r="J1" s="326"/>
      <c r="K1" s="326"/>
      <c r="L1" s="326"/>
      <c r="M1" s="326"/>
      <c r="N1" s="326"/>
      <c r="O1" s="326"/>
      <c r="P1" s="327"/>
      <c r="Q1" s="328" t="s">
        <v>3</v>
      </c>
      <c r="R1" s="331" t="s">
        <v>4</v>
      </c>
      <c r="S1" s="334" t="s">
        <v>5</v>
      </c>
      <c r="T1" s="297"/>
      <c r="U1" s="297"/>
      <c r="V1" s="297"/>
      <c r="W1" s="297"/>
      <c r="X1" s="297"/>
      <c r="Y1" s="297"/>
      <c r="Z1" s="297"/>
      <c r="AA1" s="297"/>
      <c r="AB1" s="335"/>
      <c r="AC1" s="296" t="s">
        <v>6</v>
      </c>
      <c r="AD1" s="297"/>
      <c r="AE1" s="297"/>
      <c r="AF1" s="297"/>
      <c r="AG1" s="297"/>
      <c r="AH1" s="297"/>
      <c r="AI1" s="297"/>
      <c r="AJ1" s="297"/>
      <c r="AK1" s="297"/>
      <c r="AL1" s="298"/>
      <c r="AM1" s="302" t="s">
        <v>7</v>
      </c>
      <c r="AN1" s="297"/>
      <c r="AO1" s="303"/>
      <c r="AP1" s="306" t="s">
        <v>8</v>
      </c>
      <c r="AQ1" s="297"/>
      <c r="AR1" s="297"/>
      <c r="AS1" s="297"/>
      <c r="AT1" s="297"/>
      <c r="AU1" s="307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23"/>
      <c r="B2" s="300"/>
      <c r="C2" s="301"/>
      <c r="D2" s="304"/>
      <c r="E2" s="301"/>
      <c r="F2" s="304"/>
      <c r="G2" s="300"/>
      <c r="H2" s="300"/>
      <c r="I2" s="300"/>
      <c r="J2" s="300"/>
      <c r="K2" s="300"/>
      <c r="L2" s="300"/>
      <c r="M2" s="300"/>
      <c r="N2" s="300"/>
      <c r="O2" s="300"/>
      <c r="P2" s="305"/>
      <c r="Q2" s="329"/>
      <c r="R2" s="332"/>
      <c r="S2" s="304"/>
      <c r="T2" s="300"/>
      <c r="U2" s="300"/>
      <c r="V2" s="300"/>
      <c r="W2" s="300"/>
      <c r="X2" s="300"/>
      <c r="Y2" s="300"/>
      <c r="Z2" s="300"/>
      <c r="AA2" s="300"/>
      <c r="AB2" s="336"/>
      <c r="AC2" s="299"/>
      <c r="AD2" s="300"/>
      <c r="AE2" s="300"/>
      <c r="AF2" s="300"/>
      <c r="AG2" s="300"/>
      <c r="AH2" s="300"/>
      <c r="AI2" s="300"/>
      <c r="AJ2" s="300"/>
      <c r="AK2" s="300"/>
      <c r="AL2" s="301"/>
      <c r="AM2" s="304"/>
      <c r="AN2" s="300"/>
      <c r="AO2" s="305"/>
      <c r="AP2" s="300"/>
      <c r="AQ2" s="300"/>
      <c r="AR2" s="300"/>
      <c r="AS2" s="300"/>
      <c r="AT2" s="300"/>
      <c r="AU2" s="308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19"/>
      <c r="H3" s="320"/>
      <c r="I3" s="321" t="s">
        <v>77</v>
      </c>
      <c r="J3" s="319"/>
      <c r="K3" s="320"/>
      <c r="L3" s="139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29"/>
      <c r="R3" s="332"/>
      <c r="S3" s="339" t="s">
        <v>24</v>
      </c>
      <c r="T3" s="320"/>
      <c r="U3" s="338" t="s">
        <v>25</v>
      </c>
      <c r="V3" s="320"/>
      <c r="W3" s="338" t="s">
        <v>26</v>
      </c>
      <c r="X3" s="320"/>
      <c r="Y3" s="338" t="s">
        <v>27</v>
      </c>
      <c r="Z3" s="320"/>
      <c r="AA3" s="338" t="s">
        <v>28</v>
      </c>
      <c r="AB3" s="340"/>
      <c r="AC3" s="341" t="s">
        <v>24</v>
      </c>
      <c r="AD3" s="320"/>
      <c r="AE3" s="338" t="s">
        <v>25</v>
      </c>
      <c r="AF3" s="320"/>
      <c r="AG3" s="338" t="s">
        <v>26</v>
      </c>
      <c r="AH3" s="320"/>
      <c r="AI3" s="338" t="s">
        <v>27</v>
      </c>
      <c r="AJ3" s="320"/>
      <c r="AK3" s="338" t="s">
        <v>28</v>
      </c>
      <c r="AL3" s="320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10"/>
      <c r="B4" s="312"/>
      <c r="C4" s="314"/>
      <c r="D4" s="316"/>
      <c r="E4" s="314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140" t="s">
        <v>39</v>
      </c>
      <c r="M4" s="312"/>
      <c r="N4" s="312"/>
      <c r="O4" s="312"/>
      <c r="P4" s="344"/>
      <c r="Q4" s="330"/>
      <c r="R4" s="333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12"/>
      <c r="AO4" s="351"/>
      <c r="AP4" s="346"/>
      <c r="AQ4" s="28" t="s">
        <v>42</v>
      </c>
      <c r="AR4" s="28" t="s">
        <v>43</v>
      </c>
      <c r="AS4" s="28" t="s">
        <v>44</v>
      </c>
      <c r="AT4" s="28" t="s">
        <v>41</v>
      </c>
      <c r="AU4" s="348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s="129" customFormat="1" ht="8.25" customHeight="1">
      <c r="A5" s="122" t="s">
        <v>110</v>
      </c>
      <c r="B5" s="117">
        <v>256</v>
      </c>
      <c r="C5" s="125" t="s">
        <v>223</v>
      </c>
      <c r="D5" s="209">
        <v>2543</v>
      </c>
      <c r="E5" s="114" t="s">
        <v>85</v>
      </c>
      <c r="F5" s="210">
        <v>302</v>
      </c>
      <c r="G5" s="175" t="s">
        <v>147</v>
      </c>
      <c r="H5" s="176">
        <v>302</v>
      </c>
      <c r="I5" s="177" t="s">
        <v>105</v>
      </c>
      <c r="J5" s="175" t="s">
        <v>97</v>
      </c>
      <c r="K5" s="177" t="s">
        <v>88</v>
      </c>
      <c r="L5" s="180">
        <v>1</v>
      </c>
      <c r="M5" s="116" t="s">
        <v>89</v>
      </c>
      <c r="N5" s="116" t="s">
        <v>114</v>
      </c>
      <c r="O5" s="116">
        <v>2300</v>
      </c>
      <c r="P5" s="179" t="s">
        <v>90</v>
      </c>
      <c r="Q5" s="123" t="s">
        <v>91</v>
      </c>
      <c r="R5" s="124" t="s">
        <v>190</v>
      </c>
      <c r="S5" s="119">
        <v>0</v>
      </c>
      <c r="T5" s="116">
        <v>0</v>
      </c>
      <c r="U5" s="116">
        <v>0</v>
      </c>
      <c r="V5" s="116">
        <v>0</v>
      </c>
      <c r="W5" s="116">
        <v>0</v>
      </c>
      <c r="X5" s="117">
        <v>0</v>
      </c>
      <c r="Y5" s="117">
        <v>0</v>
      </c>
      <c r="Z5" s="117">
        <v>0</v>
      </c>
      <c r="AA5" s="117"/>
      <c r="AB5" s="199"/>
      <c r="AC5" s="200">
        <v>0</v>
      </c>
      <c r="AD5" s="117">
        <v>0</v>
      </c>
      <c r="AE5" s="117">
        <v>0</v>
      </c>
      <c r="AF5" s="117">
        <v>0</v>
      </c>
      <c r="AG5" s="117">
        <v>0</v>
      </c>
      <c r="AH5" s="117">
        <v>0</v>
      </c>
      <c r="AI5" s="116">
        <v>0</v>
      </c>
      <c r="AJ5" s="116">
        <v>0</v>
      </c>
      <c r="AK5" s="116"/>
      <c r="AL5" s="118"/>
      <c r="AM5" s="119">
        <v>0</v>
      </c>
      <c r="AN5" s="116">
        <v>22</v>
      </c>
      <c r="AO5" s="114" t="s">
        <v>93</v>
      </c>
      <c r="AP5" s="120" t="s">
        <v>52</v>
      </c>
      <c r="AQ5" s="117" t="s">
        <v>99</v>
      </c>
      <c r="AR5" s="202">
        <v>1000</v>
      </c>
      <c r="AS5" s="202" t="s">
        <v>100</v>
      </c>
      <c r="AT5" s="202">
        <v>0</v>
      </c>
      <c r="AU5" s="204">
        <v>22</v>
      </c>
      <c r="AV5" s="18"/>
      <c r="AW5" s="18" t="str">
        <f t="shared" ref="AW5:AW29" si="0">IF(AND($AP5="TC",NOT(ISBLANK($AT5))),$AU5*$AR5,"")</f>
        <v/>
      </c>
      <c r="AX5" s="18" t="str">
        <f t="shared" ref="AX5:AX29" si="1">IF(AND($AP5="TC",NOT(ISBLANK($AT5))),$AU5,"")</f>
        <v/>
      </c>
      <c r="AY5" s="18"/>
      <c r="AZ5" s="18"/>
      <c r="BA5" s="18"/>
      <c r="BB5" s="18"/>
      <c r="BC5" s="18">
        <f t="shared" ref="BC5:BC29" si="2">IF(AND($AP5="HTS",NOT(ISBLANK($AT5))),$AU5*$AR5,"")</f>
        <v>22000</v>
      </c>
      <c r="BD5" s="18">
        <f t="shared" ref="BD5:BD29" si="3">IF(AND($AP5="HTS",NOT(ISBLANK($AT5))),$AU5,"")</f>
        <v>22</v>
      </c>
      <c r="BE5" s="18"/>
      <c r="BF5" s="18" t="str">
        <f t="shared" ref="BF5:BF29" si="4">IF(AND($AP5="HAST",NOT(ISBLANK($AT5))),$AU5*$AR5,"")</f>
        <v/>
      </c>
      <c r="BG5" s="18" t="str">
        <f t="shared" ref="BG5:BG29" si="5">IF(AND($AP5="HAST",NOT(ISBLANK($AT5))),$AU5,"")</f>
        <v/>
      </c>
      <c r="BH5" s="18"/>
    </row>
    <row r="6" spans="1:60" s="129" customFormat="1" ht="8.25" customHeight="1">
      <c r="A6" s="1"/>
      <c r="B6" s="2"/>
      <c r="C6" s="3"/>
      <c r="D6" s="138"/>
      <c r="E6" s="4"/>
      <c r="F6" s="64"/>
      <c r="G6" s="6"/>
      <c r="H6" s="110"/>
      <c r="I6" s="7"/>
      <c r="J6" s="6"/>
      <c r="K6" s="7"/>
      <c r="L6" s="126"/>
      <c r="M6" s="12"/>
      <c r="N6" s="12"/>
      <c r="O6" s="12"/>
      <c r="P6" s="56"/>
      <c r="Q6" s="9"/>
      <c r="R6" s="10"/>
      <c r="S6" s="11"/>
      <c r="T6" s="12"/>
      <c r="U6" s="12"/>
      <c r="V6" s="12"/>
      <c r="W6" s="12"/>
      <c r="X6" s="2"/>
      <c r="Y6" s="2"/>
      <c r="Z6" s="2"/>
      <c r="AA6" s="2"/>
      <c r="AB6" s="59"/>
      <c r="AC6" s="62"/>
      <c r="AD6" s="2"/>
      <c r="AE6" s="2"/>
      <c r="AF6" s="2"/>
      <c r="AG6" s="2"/>
      <c r="AH6" s="2"/>
      <c r="AI6" s="12"/>
      <c r="AJ6" s="12"/>
      <c r="AK6" s="12"/>
      <c r="AL6" s="13"/>
      <c r="AM6" s="11"/>
      <c r="AN6" s="12"/>
      <c r="AO6" s="4"/>
      <c r="AP6" s="14"/>
      <c r="AQ6" s="2"/>
      <c r="AR6" s="16"/>
      <c r="AS6" s="16"/>
      <c r="AT6" s="16"/>
      <c r="AU6" s="51"/>
      <c r="AV6" s="18"/>
      <c r="AW6" s="18" t="str">
        <f t="shared" si="0"/>
        <v/>
      </c>
      <c r="AX6" s="18" t="str">
        <f t="shared" si="1"/>
        <v/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s="129" customFormat="1" ht="8.25" customHeight="1">
      <c r="A7" s="1" t="s">
        <v>110</v>
      </c>
      <c r="B7" s="2">
        <v>256</v>
      </c>
      <c r="C7" s="3" t="s">
        <v>210</v>
      </c>
      <c r="D7" s="138">
        <v>2521</v>
      </c>
      <c r="E7" s="4" t="s">
        <v>85</v>
      </c>
      <c r="F7" s="64">
        <v>259</v>
      </c>
      <c r="G7" s="6" t="s">
        <v>147</v>
      </c>
      <c r="H7" s="110">
        <v>259</v>
      </c>
      <c r="I7" s="7" t="s">
        <v>105</v>
      </c>
      <c r="J7" s="6" t="s">
        <v>87</v>
      </c>
      <c r="K7" s="7" t="s">
        <v>88</v>
      </c>
      <c r="L7" s="126">
        <v>1.2</v>
      </c>
      <c r="M7" s="12" t="s">
        <v>89</v>
      </c>
      <c r="N7" s="12" t="s">
        <v>114</v>
      </c>
      <c r="O7" s="12">
        <v>2300</v>
      </c>
      <c r="P7" s="56" t="s">
        <v>109</v>
      </c>
      <c r="Q7" s="9" t="s">
        <v>91</v>
      </c>
      <c r="R7" s="10" t="s">
        <v>143</v>
      </c>
      <c r="S7" s="11">
        <v>0</v>
      </c>
      <c r="T7" s="12">
        <v>0</v>
      </c>
      <c r="U7" s="12">
        <v>0</v>
      </c>
      <c r="V7" s="12">
        <v>0</v>
      </c>
      <c r="W7" s="12">
        <v>0</v>
      </c>
      <c r="X7" s="2">
        <v>0</v>
      </c>
      <c r="Y7" s="2">
        <v>0</v>
      </c>
      <c r="Z7" s="2">
        <v>0</v>
      </c>
      <c r="AA7" s="2" t="s">
        <v>57</v>
      </c>
      <c r="AB7" s="59" t="s">
        <v>57</v>
      </c>
      <c r="AC7" s="6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12">
        <v>0</v>
      </c>
      <c r="AJ7" s="12">
        <v>0</v>
      </c>
      <c r="AK7" s="12" t="s">
        <v>57</v>
      </c>
      <c r="AL7" s="13" t="s">
        <v>57</v>
      </c>
      <c r="AM7" s="11">
        <v>0</v>
      </c>
      <c r="AN7" s="12">
        <v>22</v>
      </c>
      <c r="AO7" s="4" t="s">
        <v>93</v>
      </c>
      <c r="AP7" s="14" t="s">
        <v>94</v>
      </c>
      <c r="AQ7" s="248" t="s">
        <v>95</v>
      </c>
      <c r="AR7" s="16">
        <v>1000</v>
      </c>
      <c r="AS7" s="16" t="s">
        <v>96</v>
      </c>
      <c r="AT7" s="16">
        <v>0</v>
      </c>
      <c r="AU7" s="51">
        <v>22</v>
      </c>
      <c r="AV7" s="18"/>
      <c r="AW7" s="18">
        <f t="shared" si="0"/>
        <v>22000</v>
      </c>
      <c r="AX7" s="18">
        <f t="shared" si="1"/>
        <v>22</v>
      </c>
      <c r="AY7" s="18"/>
      <c r="AZ7" s="18"/>
      <c r="BA7" s="18"/>
      <c r="BB7" s="18"/>
      <c r="BC7" s="18" t="str">
        <f t="shared" si="2"/>
        <v/>
      </c>
      <c r="BD7" s="18" t="str">
        <f t="shared" si="3"/>
        <v/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s="129" customFormat="1" ht="8.25" customHeight="1">
      <c r="A8" s="1" t="s">
        <v>110</v>
      </c>
      <c r="B8" s="2">
        <v>256</v>
      </c>
      <c r="C8" s="3" t="s">
        <v>210</v>
      </c>
      <c r="D8" s="138">
        <v>2539</v>
      </c>
      <c r="E8" s="4" t="s">
        <v>85</v>
      </c>
      <c r="F8" s="64">
        <v>259</v>
      </c>
      <c r="G8" s="6" t="s">
        <v>147</v>
      </c>
      <c r="H8" s="110">
        <v>259</v>
      </c>
      <c r="I8" s="7" t="s">
        <v>105</v>
      </c>
      <c r="J8" s="6" t="s">
        <v>87</v>
      </c>
      <c r="K8" s="7" t="s">
        <v>88</v>
      </c>
      <c r="L8" s="126">
        <v>1.2</v>
      </c>
      <c r="M8" s="12" t="s">
        <v>89</v>
      </c>
      <c r="N8" s="12" t="s">
        <v>114</v>
      </c>
      <c r="O8" s="12">
        <v>2300</v>
      </c>
      <c r="P8" s="56" t="s">
        <v>109</v>
      </c>
      <c r="Q8" s="9" t="s">
        <v>91</v>
      </c>
      <c r="R8" s="10" t="s">
        <v>143</v>
      </c>
      <c r="S8" s="119">
        <v>0</v>
      </c>
      <c r="T8" s="116">
        <v>0</v>
      </c>
      <c r="U8" s="116">
        <v>0</v>
      </c>
      <c r="V8" s="116">
        <v>0</v>
      </c>
      <c r="W8" s="116">
        <v>0</v>
      </c>
      <c r="X8" s="117">
        <v>0</v>
      </c>
      <c r="Y8" s="117">
        <v>0</v>
      </c>
      <c r="Z8" s="117">
        <v>0</v>
      </c>
      <c r="AA8" s="117"/>
      <c r="AB8" s="199"/>
      <c r="AC8" s="200">
        <v>0</v>
      </c>
      <c r="AD8" s="117">
        <v>0</v>
      </c>
      <c r="AE8" s="117">
        <v>0</v>
      </c>
      <c r="AF8" s="117">
        <v>0</v>
      </c>
      <c r="AG8" s="117">
        <v>0</v>
      </c>
      <c r="AH8" s="117">
        <v>0</v>
      </c>
      <c r="AI8" s="116">
        <v>0</v>
      </c>
      <c r="AJ8" s="116">
        <v>0</v>
      </c>
      <c r="AK8" s="116"/>
      <c r="AL8" s="118"/>
      <c r="AM8" s="119">
        <v>0</v>
      </c>
      <c r="AN8" s="116">
        <v>22</v>
      </c>
      <c r="AO8" s="114" t="s">
        <v>93</v>
      </c>
      <c r="AP8" s="120" t="s">
        <v>58</v>
      </c>
      <c r="AQ8" s="117" t="s">
        <v>104</v>
      </c>
      <c r="AR8" s="202">
        <v>1000</v>
      </c>
      <c r="AS8" s="202" t="s">
        <v>100</v>
      </c>
      <c r="AT8" s="202">
        <v>0</v>
      </c>
      <c r="AU8" s="204">
        <v>22</v>
      </c>
      <c r="AV8" s="18"/>
      <c r="AW8" s="18" t="str">
        <f t="shared" si="0"/>
        <v/>
      </c>
      <c r="AX8" s="18" t="str">
        <f t="shared" si="1"/>
        <v/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>
        <f t="shared" si="4"/>
        <v>22000</v>
      </c>
      <c r="BG8" s="18">
        <f t="shared" si="5"/>
        <v>22</v>
      </c>
      <c r="BH8" s="18"/>
    </row>
    <row r="9" spans="1:60" s="129" customFormat="1" ht="8.25" customHeight="1">
      <c r="A9" s="1"/>
      <c r="B9" s="2"/>
      <c r="C9" s="3"/>
      <c r="D9" s="138"/>
      <c r="E9" s="4"/>
      <c r="F9" s="5"/>
      <c r="G9" s="6"/>
      <c r="H9" s="7"/>
      <c r="I9" s="7"/>
      <c r="J9" s="6"/>
      <c r="K9" s="7"/>
      <c r="L9" s="126"/>
      <c r="M9" s="12"/>
      <c r="N9" s="12"/>
      <c r="O9" s="2"/>
      <c r="P9" s="56"/>
      <c r="Q9" s="9"/>
      <c r="R9" s="10"/>
      <c r="S9" s="11"/>
      <c r="T9" s="12"/>
      <c r="U9" s="12"/>
      <c r="V9" s="12"/>
      <c r="W9" s="12"/>
      <c r="X9" s="2"/>
      <c r="Y9" s="2"/>
      <c r="Z9" s="2"/>
      <c r="AA9" s="2"/>
      <c r="AB9" s="59"/>
      <c r="AC9" s="62"/>
      <c r="AD9" s="2"/>
      <c r="AE9" s="2"/>
      <c r="AF9" s="2"/>
      <c r="AG9" s="2"/>
      <c r="AH9" s="2"/>
      <c r="AI9" s="12"/>
      <c r="AJ9" s="12"/>
      <c r="AK9" s="12"/>
      <c r="AL9" s="13"/>
      <c r="AM9" s="11"/>
      <c r="AN9" s="12"/>
      <c r="AO9" s="4"/>
      <c r="AP9" s="14"/>
      <c r="AQ9" s="2"/>
      <c r="AR9" s="16"/>
      <c r="AS9" s="16"/>
      <c r="AT9" s="16"/>
      <c r="AU9" s="51"/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 t="str">
        <f t="shared" si="2"/>
        <v/>
      </c>
      <c r="BD9" s="18" t="str">
        <f t="shared" si="3"/>
        <v/>
      </c>
      <c r="BE9" s="18"/>
      <c r="BF9" s="18" t="str">
        <f t="shared" si="4"/>
        <v/>
      </c>
      <c r="BG9" s="18" t="str">
        <f t="shared" si="5"/>
        <v/>
      </c>
      <c r="BH9" s="18"/>
    </row>
    <row r="10" spans="1:60" s="129" customFormat="1" ht="8.25" customHeight="1">
      <c r="A10" s="1" t="s">
        <v>110</v>
      </c>
      <c r="B10" s="2">
        <v>388</v>
      </c>
      <c r="C10" s="3" t="s">
        <v>212</v>
      </c>
      <c r="D10" s="138">
        <v>2534</v>
      </c>
      <c r="E10" s="4" t="s">
        <v>85</v>
      </c>
      <c r="F10" s="64">
        <v>419</v>
      </c>
      <c r="G10" s="6" t="s">
        <v>147</v>
      </c>
      <c r="H10" s="110">
        <v>419</v>
      </c>
      <c r="I10" s="7" t="s">
        <v>111</v>
      </c>
      <c r="J10" s="6" t="s">
        <v>87</v>
      </c>
      <c r="K10" s="7" t="s">
        <v>88</v>
      </c>
      <c r="L10" s="126">
        <v>1</v>
      </c>
      <c r="M10" s="12" t="s">
        <v>89</v>
      </c>
      <c r="N10" s="12" t="s">
        <v>98</v>
      </c>
      <c r="O10" s="12">
        <v>2300</v>
      </c>
      <c r="P10" s="56" t="s">
        <v>109</v>
      </c>
      <c r="Q10" s="9" t="s">
        <v>91</v>
      </c>
      <c r="R10" s="10" t="s">
        <v>143</v>
      </c>
      <c r="S10" s="119">
        <v>0</v>
      </c>
      <c r="T10" s="116">
        <v>0</v>
      </c>
      <c r="U10" s="116">
        <v>0</v>
      </c>
      <c r="V10" s="116">
        <v>0</v>
      </c>
      <c r="W10" s="116">
        <v>0</v>
      </c>
      <c r="X10" s="117">
        <v>0</v>
      </c>
      <c r="Y10" s="117">
        <v>0</v>
      </c>
      <c r="Z10" s="117">
        <v>0</v>
      </c>
      <c r="AA10" s="117"/>
      <c r="AB10" s="199"/>
      <c r="AC10" s="200">
        <v>0</v>
      </c>
      <c r="AD10" s="117">
        <v>0</v>
      </c>
      <c r="AE10" s="117">
        <v>0</v>
      </c>
      <c r="AF10" s="117">
        <v>0</v>
      </c>
      <c r="AG10" s="117">
        <v>0</v>
      </c>
      <c r="AH10" s="117">
        <v>0</v>
      </c>
      <c r="AI10" s="116">
        <v>0</v>
      </c>
      <c r="AJ10" s="116">
        <v>0</v>
      </c>
      <c r="AK10" s="116"/>
      <c r="AL10" s="118"/>
      <c r="AM10" s="119">
        <v>0</v>
      </c>
      <c r="AN10" s="116">
        <v>22</v>
      </c>
      <c r="AO10" s="114" t="s">
        <v>93</v>
      </c>
      <c r="AP10" s="120" t="s">
        <v>94</v>
      </c>
      <c r="AQ10" s="117" t="s">
        <v>227</v>
      </c>
      <c r="AR10" s="202">
        <v>1000</v>
      </c>
      <c r="AS10" s="202" t="s">
        <v>96</v>
      </c>
      <c r="AT10" s="202">
        <v>0</v>
      </c>
      <c r="AU10" s="204">
        <v>22</v>
      </c>
      <c r="AV10" s="18"/>
      <c r="AW10" s="18">
        <f t="shared" si="0"/>
        <v>22000</v>
      </c>
      <c r="AX10" s="18">
        <f t="shared" si="1"/>
        <v>22</v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s="129" customFormat="1" ht="8.25" customHeight="1">
      <c r="A11" s="1"/>
      <c r="B11" s="2"/>
      <c r="C11" s="3"/>
      <c r="D11" s="138"/>
      <c r="E11" s="4"/>
      <c r="F11" s="64"/>
      <c r="G11" s="6"/>
      <c r="H11" s="110"/>
      <c r="I11" s="7"/>
      <c r="J11" s="6"/>
      <c r="K11" s="7"/>
      <c r="L11" s="126"/>
      <c r="M11" s="12"/>
      <c r="N11" s="130"/>
      <c r="O11" s="2"/>
      <c r="P11" s="56"/>
      <c r="Q11" s="9"/>
      <c r="R11" s="10"/>
      <c r="S11" s="11"/>
      <c r="T11" s="12"/>
      <c r="U11" s="12"/>
      <c r="V11" s="12"/>
      <c r="W11" s="12"/>
      <c r="X11" s="2"/>
      <c r="Y11" s="2"/>
      <c r="Z11" s="2"/>
      <c r="AA11" s="2"/>
      <c r="AB11" s="59"/>
      <c r="AC11" s="62"/>
      <c r="AD11" s="2"/>
      <c r="AE11" s="2"/>
      <c r="AF11" s="2"/>
      <c r="AG11" s="2"/>
      <c r="AH11" s="2"/>
      <c r="AI11" s="12"/>
      <c r="AJ11" s="12"/>
      <c r="AK11" s="12"/>
      <c r="AL11" s="13"/>
      <c r="AM11" s="11"/>
      <c r="AN11" s="12"/>
      <c r="AO11" s="4"/>
      <c r="AP11" s="14"/>
      <c r="AQ11" s="2"/>
      <c r="AR11" s="16"/>
      <c r="AS11" s="16"/>
      <c r="AT11" s="16"/>
      <c r="AU11" s="51"/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 t="str">
        <f t="shared" si="4"/>
        <v/>
      </c>
      <c r="BG11" s="18" t="str">
        <f t="shared" si="5"/>
        <v/>
      </c>
      <c r="BH11" s="18"/>
    </row>
    <row r="12" spans="1:60" s="129" customFormat="1" ht="8.25" customHeight="1">
      <c r="A12" s="1" t="s">
        <v>110</v>
      </c>
      <c r="B12" s="2">
        <v>484</v>
      </c>
      <c r="C12" s="3" t="s">
        <v>211</v>
      </c>
      <c r="D12" s="138">
        <v>2504</v>
      </c>
      <c r="E12" s="4" t="s">
        <v>85</v>
      </c>
      <c r="F12" s="64">
        <v>246</v>
      </c>
      <c r="G12" s="6" t="s">
        <v>147</v>
      </c>
      <c r="H12" s="110">
        <v>243</v>
      </c>
      <c r="I12" s="7" t="s">
        <v>105</v>
      </c>
      <c r="J12" s="6" t="s">
        <v>97</v>
      </c>
      <c r="K12" s="7" t="s">
        <v>88</v>
      </c>
      <c r="L12" s="126">
        <v>1</v>
      </c>
      <c r="M12" s="12" t="s">
        <v>89</v>
      </c>
      <c r="N12" s="12" t="s">
        <v>172</v>
      </c>
      <c r="O12" s="2">
        <v>2300</v>
      </c>
      <c r="P12" s="56" t="s">
        <v>112</v>
      </c>
      <c r="Q12" s="9" t="s">
        <v>91</v>
      </c>
      <c r="R12" s="10" t="s">
        <v>113</v>
      </c>
      <c r="S12" s="11">
        <v>0</v>
      </c>
      <c r="T12" s="12">
        <v>0</v>
      </c>
      <c r="U12" s="12">
        <v>0</v>
      </c>
      <c r="V12" s="12">
        <v>0</v>
      </c>
      <c r="W12" s="12">
        <v>0</v>
      </c>
      <c r="X12" s="2">
        <v>0</v>
      </c>
      <c r="Y12" s="2">
        <v>0</v>
      </c>
      <c r="Z12" s="2">
        <v>0</v>
      </c>
      <c r="AA12" s="2" t="s">
        <v>57</v>
      </c>
      <c r="AB12" s="59" t="s">
        <v>57</v>
      </c>
      <c r="AC12" s="6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12">
        <v>0</v>
      </c>
      <c r="AJ12" s="12">
        <v>0</v>
      </c>
      <c r="AK12" s="12" t="s">
        <v>57</v>
      </c>
      <c r="AL12" s="13" t="s">
        <v>57</v>
      </c>
      <c r="AM12" s="11">
        <v>0</v>
      </c>
      <c r="AN12" s="12">
        <v>22</v>
      </c>
      <c r="AO12" s="4" t="s">
        <v>93</v>
      </c>
      <c r="AP12" s="14" t="s">
        <v>52</v>
      </c>
      <c r="AQ12" s="2" t="s">
        <v>99</v>
      </c>
      <c r="AR12" s="16">
        <v>1000</v>
      </c>
      <c r="AS12" s="16" t="s">
        <v>100</v>
      </c>
      <c r="AT12" s="16">
        <v>0</v>
      </c>
      <c r="AU12" s="51">
        <v>22</v>
      </c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>
        <f t="shared" si="2"/>
        <v>22000</v>
      </c>
      <c r="BD12" s="18">
        <f t="shared" si="3"/>
        <v>22</v>
      </c>
      <c r="BE12" s="18"/>
      <c r="BF12" s="18" t="str">
        <f t="shared" si="4"/>
        <v/>
      </c>
      <c r="BG12" s="18" t="str">
        <f t="shared" si="5"/>
        <v/>
      </c>
      <c r="BH12" s="18"/>
    </row>
    <row r="13" spans="1:60" s="129" customFormat="1" ht="8.25" customHeight="1">
      <c r="A13" s="1" t="s">
        <v>110</v>
      </c>
      <c r="B13" s="2">
        <v>484</v>
      </c>
      <c r="C13" s="3" t="s">
        <v>211</v>
      </c>
      <c r="D13" s="138">
        <v>2508</v>
      </c>
      <c r="E13" s="4" t="s">
        <v>85</v>
      </c>
      <c r="F13" s="64">
        <v>160</v>
      </c>
      <c r="G13" s="6" t="s">
        <v>147</v>
      </c>
      <c r="H13" s="110">
        <v>269</v>
      </c>
      <c r="I13" s="7" t="s">
        <v>105</v>
      </c>
      <c r="J13" s="6" t="s">
        <v>97</v>
      </c>
      <c r="K13" s="7" t="s">
        <v>88</v>
      </c>
      <c r="L13" s="126">
        <v>0.8</v>
      </c>
      <c r="M13" s="12" t="s">
        <v>89</v>
      </c>
      <c r="N13" s="12" t="s">
        <v>172</v>
      </c>
      <c r="O13" s="2">
        <v>2300</v>
      </c>
      <c r="P13" s="56" t="s">
        <v>112</v>
      </c>
      <c r="Q13" s="9" t="s">
        <v>91</v>
      </c>
      <c r="R13" s="10" t="s">
        <v>113</v>
      </c>
      <c r="S13" s="11">
        <v>0</v>
      </c>
      <c r="T13" s="12">
        <v>0</v>
      </c>
      <c r="U13" s="12">
        <v>0</v>
      </c>
      <c r="V13" s="12">
        <v>0</v>
      </c>
      <c r="W13" s="12">
        <v>0</v>
      </c>
      <c r="X13" s="2">
        <v>0</v>
      </c>
      <c r="Y13" s="2">
        <v>0</v>
      </c>
      <c r="Z13" s="2">
        <v>0</v>
      </c>
      <c r="AA13" s="2"/>
      <c r="AB13" s="59"/>
      <c r="AC13" s="6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12">
        <v>0</v>
      </c>
      <c r="AJ13" s="12">
        <v>0</v>
      </c>
      <c r="AK13" s="12" t="s">
        <v>57</v>
      </c>
      <c r="AL13" s="13" t="s">
        <v>57</v>
      </c>
      <c r="AM13" s="11">
        <v>0</v>
      </c>
      <c r="AN13" s="12">
        <v>22</v>
      </c>
      <c r="AO13" s="4" t="s">
        <v>93</v>
      </c>
      <c r="AP13" s="14" t="s">
        <v>94</v>
      </c>
      <c r="AQ13" s="2" t="s">
        <v>95</v>
      </c>
      <c r="AR13" s="16">
        <v>1000</v>
      </c>
      <c r="AS13" s="16" t="s">
        <v>96</v>
      </c>
      <c r="AT13" s="16">
        <v>0</v>
      </c>
      <c r="AU13" s="51">
        <v>22</v>
      </c>
      <c r="AV13" s="18"/>
      <c r="AW13" s="18">
        <f t="shared" si="0"/>
        <v>22000</v>
      </c>
      <c r="AX13" s="18">
        <f t="shared" si="1"/>
        <v>22</v>
      </c>
      <c r="AY13" s="18"/>
      <c r="AZ13" s="18"/>
      <c r="BA13" s="18"/>
      <c r="BB13" s="18"/>
      <c r="BC13" s="18" t="str">
        <f t="shared" si="2"/>
        <v/>
      </c>
      <c r="BD13" s="18" t="str">
        <f t="shared" si="3"/>
        <v/>
      </c>
      <c r="BE13" s="18"/>
      <c r="BF13" s="18" t="str">
        <f t="shared" si="4"/>
        <v/>
      </c>
      <c r="BG13" s="18" t="str">
        <f t="shared" si="5"/>
        <v/>
      </c>
      <c r="BH13" s="18"/>
    </row>
    <row r="14" spans="1:60" s="129" customFormat="1" ht="8.25" customHeight="1">
      <c r="A14" s="1" t="s">
        <v>110</v>
      </c>
      <c r="B14" s="2">
        <v>484</v>
      </c>
      <c r="C14" s="3" t="s">
        <v>211</v>
      </c>
      <c r="D14" s="138">
        <v>2512</v>
      </c>
      <c r="E14" s="4" t="s">
        <v>85</v>
      </c>
      <c r="F14" s="64">
        <v>321</v>
      </c>
      <c r="G14" s="6" t="s">
        <v>147</v>
      </c>
      <c r="H14" s="110">
        <v>328</v>
      </c>
      <c r="I14" s="7" t="s">
        <v>173</v>
      </c>
      <c r="J14" s="6" t="s">
        <v>97</v>
      </c>
      <c r="K14" s="7" t="s">
        <v>88</v>
      </c>
      <c r="L14" s="126">
        <v>1</v>
      </c>
      <c r="M14" s="12" t="s">
        <v>89</v>
      </c>
      <c r="N14" s="12" t="s">
        <v>172</v>
      </c>
      <c r="O14" s="2">
        <v>2300</v>
      </c>
      <c r="P14" s="56" t="s">
        <v>112</v>
      </c>
      <c r="Q14" s="9" t="s">
        <v>91</v>
      </c>
      <c r="R14" s="10" t="s">
        <v>113</v>
      </c>
      <c r="S14" s="11">
        <v>0</v>
      </c>
      <c r="T14" s="12">
        <v>0</v>
      </c>
      <c r="U14" s="12">
        <v>0</v>
      </c>
      <c r="V14" s="12">
        <v>0</v>
      </c>
      <c r="W14" s="12">
        <v>0</v>
      </c>
      <c r="X14" s="2">
        <v>0</v>
      </c>
      <c r="Y14" s="2">
        <v>0</v>
      </c>
      <c r="Z14" s="2">
        <v>0</v>
      </c>
      <c r="AA14" s="2"/>
      <c r="AB14" s="59"/>
      <c r="AC14" s="6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12">
        <v>0</v>
      </c>
      <c r="AJ14" s="12">
        <v>0</v>
      </c>
      <c r="AK14" s="12" t="s">
        <v>57</v>
      </c>
      <c r="AL14" s="13" t="s">
        <v>57</v>
      </c>
      <c r="AM14" s="11">
        <v>0</v>
      </c>
      <c r="AN14" s="12">
        <v>22</v>
      </c>
      <c r="AO14" s="4" t="s">
        <v>93</v>
      </c>
      <c r="AP14" s="14" t="s">
        <v>58</v>
      </c>
      <c r="AQ14" s="2" t="s">
        <v>104</v>
      </c>
      <c r="AR14" s="16">
        <v>96</v>
      </c>
      <c r="AS14" s="16" t="s">
        <v>100</v>
      </c>
      <c r="AT14" s="16">
        <v>0</v>
      </c>
      <c r="AU14" s="51">
        <v>22</v>
      </c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>
        <f t="shared" si="4"/>
        <v>2112</v>
      </c>
      <c r="BG14" s="18">
        <f t="shared" si="5"/>
        <v>22</v>
      </c>
      <c r="BH14" s="18"/>
    </row>
    <row r="15" spans="1:60" s="129" customFormat="1" ht="8.25" customHeight="1">
      <c r="A15" s="1" t="s">
        <v>110</v>
      </c>
      <c r="B15" s="2">
        <v>484</v>
      </c>
      <c r="C15" s="3" t="s">
        <v>211</v>
      </c>
      <c r="D15" s="138">
        <v>2517</v>
      </c>
      <c r="E15" s="4" t="s">
        <v>85</v>
      </c>
      <c r="F15" s="64">
        <v>200</v>
      </c>
      <c r="G15" s="6" t="s">
        <v>147</v>
      </c>
      <c r="H15" s="110">
        <v>213</v>
      </c>
      <c r="I15" s="7" t="s">
        <v>101</v>
      </c>
      <c r="J15" s="6" t="s">
        <v>97</v>
      </c>
      <c r="K15" s="7" t="s">
        <v>88</v>
      </c>
      <c r="L15" s="126">
        <v>1</v>
      </c>
      <c r="M15" s="12" t="s">
        <v>89</v>
      </c>
      <c r="N15" s="130" t="s">
        <v>114</v>
      </c>
      <c r="O15" s="2">
        <v>2300</v>
      </c>
      <c r="P15" s="56" t="s">
        <v>112</v>
      </c>
      <c r="Q15" s="9" t="s">
        <v>91</v>
      </c>
      <c r="R15" s="10" t="s">
        <v>193</v>
      </c>
      <c r="S15" s="11">
        <v>0</v>
      </c>
      <c r="T15" s="12">
        <v>0</v>
      </c>
      <c r="U15" s="12">
        <v>0</v>
      </c>
      <c r="V15" s="12">
        <v>0</v>
      </c>
      <c r="W15" s="12">
        <v>0</v>
      </c>
      <c r="X15" s="2">
        <v>0</v>
      </c>
      <c r="Y15" s="2">
        <v>0</v>
      </c>
      <c r="Z15" s="2">
        <v>0</v>
      </c>
      <c r="AA15" s="2"/>
      <c r="AB15" s="59"/>
      <c r="AC15" s="6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12">
        <v>0</v>
      </c>
      <c r="AJ15" s="12">
        <v>0</v>
      </c>
      <c r="AK15" s="12" t="s">
        <v>57</v>
      </c>
      <c r="AL15" s="13" t="s">
        <v>57</v>
      </c>
      <c r="AM15" s="11">
        <v>0</v>
      </c>
      <c r="AN15" s="12">
        <v>22</v>
      </c>
      <c r="AO15" s="4" t="s">
        <v>93</v>
      </c>
      <c r="AP15" s="14" t="s">
        <v>52</v>
      </c>
      <c r="AQ15" s="2" t="s">
        <v>99</v>
      </c>
      <c r="AR15" s="15">
        <v>1000</v>
      </c>
      <c r="AS15" s="16" t="s">
        <v>100</v>
      </c>
      <c r="AT15" s="15">
        <v>0</v>
      </c>
      <c r="AU15" s="17">
        <v>22</v>
      </c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>
        <f t="shared" si="2"/>
        <v>22000</v>
      </c>
      <c r="BD15" s="18">
        <f t="shared" si="3"/>
        <v>22</v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s="129" customFormat="1" ht="8.25" customHeight="1">
      <c r="A16" s="1" t="s">
        <v>110</v>
      </c>
      <c r="B16" s="2">
        <v>484</v>
      </c>
      <c r="C16" s="3" t="s">
        <v>211</v>
      </c>
      <c r="D16" s="138">
        <v>2525</v>
      </c>
      <c r="E16" s="4" t="s">
        <v>85</v>
      </c>
      <c r="F16" s="64">
        <v>246</v>
      </c>
      <c r="G16" s="6" t="s">
        <v>147</v>
      </c>
      <c r="H16" s="110">
        <v>243</v>
      </c>
      <c r="I16" s="7" t="s">
        <v>105</v>
      </c>
      <c r="J16" s="6" t="s">
        <v>97</v>
      </c>
      <c r="K16" s="7" t="s">
        <v>88</v>
      </c>
      <c r="L16" s="126">
        <v>1</v>
      </c>
      <c r="M16" s="12" t="s">
        <v>89</v>
      </c>
      <c r="N16" s="130" t="s">
        <v>172</v>
      </c>
      <c r="O16" s="12">
        <v>2300</v>
      </c>
      <c r="P16" s="56" t="s">
        <v>112</v>
      </c>
      <c r="Q16" s="9" t="s">
        <v>91</v>
      </c>
      <c r="R16" s="10" t="s">
        <v>113</v>
      </c>
      <c r="S16" s="119">
        <v>0</v>
      </c>
      <c r="T16" s="116">
        <v>0</v>
      </c>
      <c r="U16" s="116">
        <v>0</v>
      </c>
      <c r="V16" s="116">
        <v>0</v>
      </c>
      <c r="W16" s="116">
        <v>0</v>
      </c>
      <c r="X16" s="117">
        <v>0</v>
      </c>
      <c r="Y16" s="117">
        <v>0</v>
      </c>
      <c r="Z16" s="117">
        <v>0</v>
      </c>
      <c r="AA16" s="117"/>
      <c r="AB16" s="199"/>
      <c r="AC16" s="200">
        <v>0</v>
      </c>
      <c r="AD16" s="117">
        <v>0</v>
      </c>
      <c r="AE16" s="117">
        <v>0</v>
      </c>
      <c r="AF16" s="117">
        <v>0</v>
      </c>
      <c r="AG16" s="117">
        <v>0</v>
      </c>
      <c r="AH16" s="117">
        <v>0</v>
      </c>
      <c r="AI16" s="116">
        <v>0</v>
      </c>
      <c r="AJ16" s="116">
        <v>0</v>
      </c>
      <c r="AK16" s="116"/>
      <c r="AL16" s="118"/>
      <c r="AM16" s="119">
        <v>0</v>
      </c>
      <c r="AN16" s="116">
        <v>22</v>
      </c>
      <c r="AO16" s="114" t="s">
        <v>93</v>
      </c>
      <c r="AP16" s="120" t="s">
        <v>58</v>
      </c>
      <c r="AQ16" s="117" t="s">
        <v>104</v>
      </c>
      <c r="AR16" s="201">
        <v>1000</v>
      </c>
      <c r="AS16" s="202" t="s">
        <v>100</v>
      </c>
      <c r="AT16" s="201">
        <v>0</v>
      </c>
      <c r="AU16" s="203">
        <v>22</v>
      </c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>
        <f t="shared" si="4"/>
        <v>22000</v>
      </c>
      <c r="BG16" s="18">
        <f t="shared" si="5"/>
        <v>22</v>
      </c>
      <c r="BH16" s="18"/>
    </row>
    <row r="17" spans="1:60" s="129" customFormat="1" ht="8.25" customHeight="1">
      <c r="A17" s="1" t="s">
        <v>110</v>
      </c>
      <c r="B17" s="2">
        <v>484</v>
      </c>
      <c r="C17" s="3" t="s">
        <v>211</v>
      </c>
      <c r="D17" s="138">
        <v>2530</v>
      </c>
      <c r="E17" s="4" t="s">
        <v>85</v>
      </c>
      <c r="F17" s="64">
        <v>249</v>
      </c>
      <c r="G17" s="6" t="s">
        <v>147</v>
      </c>
      <c r="H17" s="110">
        <v>250</v>
      </c>
      <c r="I17" s="7" t="s">
        <v>105</v>
      </c>
      <c r="J17" s="6" t="s">
        <v>97</v>
      </c>
      <c r="K17" s="7" t="s">
        <v>88</v>
      </c>
      <c r="L17" s="126">
        <v>1</v>
      </c>
      <c r="M17" s="12" t="s">
        <v>89</v>
      </c>
      <c r="N17" s="130" t="s">
        <v>114</v>
      </c>
      <c r="O17" s="12">
        <v>2300</v>
      </c>
      <c r="P17" s="56" t="s">
        <v>112</v>
      </c>
      <c r="Q17" s="9" t="s">
        <v>91</v>
      </c>
      <c r="R17" s="10" t="s">
        <v>113</v>
      </c>
      <c r="S17" s="119">
        <v>0</v>
      </c>
      <c r="T17" s="116">
        <v>0</v>
      </c>
      <c r="U17" s="116">
        <v>0</v>
      </c>
      <c r="V17" s="116">
        <v>0</v>
      </c>
      <c r="W17" s="116">
        <v>0</v>
      </c>
      <c r="X17" s="117">
        <v>0</v>
      </c>
      <c r="Y17" s="117">
        <v>0</v>
      </c>
      <c r="Z17" s="117">
        <v>0</v>
      </c>
      <c r="AA17" s="117"/>
      <c r="AB17" s="199"/>
      <c r="AC17" s="200">
        <v>0</v>
      </c>
      <c r="AD17" s="117">
        <v>0</v>
      </c>
      <c r="AE17" s="117">
        <v>0</v>
      </c>
      <c r="AF17" s="117">
        <v>0</v>
      </c>
      <c r="AG17" s="117">
        <v>0</v>
      </c>
      <c r="AH17" s="117">
        <v>0</v>
      </c>
      <c r="AI17" s="116">
        <v>0</v>
      </c>
      <c r="AJ17" s="116">
        <v>0</v>
      </c>
      <c r="AK17" s="116"/>
      <c r="AL17" s="118"/>
      <c r="AM17" s="119">
        <v>0</v>
      </c>
      <c r="AN17" s="116">
        <v>22</v>
      </c>
      <c r="AO17" s="114" t="s">
        <v>93</v>
      </c>
      <c r="AP17" s="120" t="s">
        <v>52</v>
      </c>
      <c r="AQ17" s="117" t="s">
        <v>99</v>
      </c>
      <c r="AR17" s="201">
        <v>1000</v>
      </c>
      <c r="AS17" s="202" t="s">
        <v>100</v>
      </c>
      <c r="AT17" s="201">
        <v>0</v>
      </c>
      <c r="AU17" s="203">
        <v>22</v>
      </c>
      <c r="AV17" s="18"/>
      <c r="AW17" s="18" t="str">
        <f t="shared" si="0"/>
        <v/>
      </c>
      <c r="AX17" s="18" t="str">
        <f t="shared" si="1"/>
        <v/>
      </c>
      <c r="AY17" s="18"/>
      <c r="AZ17" s="18"/>
      <c r="BA17" s="18"/>
      <c r="BB17" s="18"/>
      <c r="BC17" s="18">
        <f t="shared" si="2"/>
        <v>22000</v>
      </c>
      <c r="BD17" s="18">
        <f t="shared" si="3"/>
        <v>22</v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s="129" customFormat="1" ht="8.25" customHeight="1">
      <c r="A18" s="122" t="s">
        <v>110</v>
      </c>
      <c r="B18" s="117">
        <v>484</v>
      </c>
      <c r="C18" s="125" t="s">
        <v>224</v>
      </c>
      <c r="D18" s="209">
        <v>2547</v>
      </c>
      <c r="E18" s="114" t="s">
        <v>85</v>
      </c>
      <c r="F18" s="210">
        <v>249</v>
      </c>
      <c r="G18" s="175" t="s">
        <v>147</v>
      </c>
      <c r="H18" s="176">
        <v>250</v>
      </c>
      <c r="I18" s="177" t="s">
        <v>105</v>
      </c>
      <c r="J18" s="175" t="s">
        <v>97</v>
      </c>
      <c r="K18" s="177" t="s">
        <v>88</v>
      </c>
      <c r="L18" s="180">
        <v>1</v>
      </c>
      <c r="M18" s="208" t="s">
        <v>89</v>
      </c>
      <c r="N18" s="208" t="s">
        <v>114</v>
      </c>
      <c r="O18" s="116">
        <v>2300</v>
      </c>
      <c r="P18" s="179" t="s">
        <v>109</v>
      </c>
      <c r="Q18" s="123" t="s">
        <v>91</v>
      </c>
      <c r="R18" s="124" t="s">
        <v>143</v>
      </c>
      <c r="S18" s="119" t="s">
        <v>57</v>
      </c>
      <c r="T18" s="116" t="s">
        <v>57</v>
      </c>
      <c r="U18" s="116" t="s">
        <v>57</v>
      </c>
      <c r="V18" s="116" t="s">
        <v>57</v>
      </c>
      <c r="W18" s="116" t="s">
        <v>57</v>
      </c>
      <c r="X18" s="117" t="s">
        <v>57</v>
      </c>
      <c r="Y18" s="117" t="s">
        <v>57</v>
      </c>
      <c r="Z18" s="117" t="s">
        <v>57</v>
      </c>
      <c r="AA18" s="117" t="s">
        <v>57</v>
      </c>
      <c r="AB18" s="199" t="s">
        <v>57</v>
      </c>
      <c r="AC18" s="200" t="s">
        <v>57</v>
      </c>
      <c r="AD18" s="117" t="s">
        <v>57</v>
      </c>
      <c r="AE18" s="117" t="s">
        <v>57</v>
      </c>
      <c r="AF18" s="117" t="s">
        <v>57</v>
      </c>
      <c r="AG18" s="117" t="s">
        <v>57</v>
      </c>
      <c r="AH18" s="117" t="s">
        <v>57</v>
      </c>
      <c r="AI18" s="116" t="s">
        <v>57</v>
      </c>
      <c r="AJ18" s="116" t="s">
        <v>57</v>
      </c>
      <c r="AK18" s="116" t="s">
        <v>57</v>
      </c>
      <c r="AL18" s="118" t="s">
        <v>57</v>
      </c>
      <c r="AM18" s="119" t="s">
        <v>57</v>
      </c>
      <c r="AN18" s="116" t="s">
        <v>57</v>
      </c>
      <c r="AO18" s="114" t="s">
        <v>155</v>
      </c>
      <c r="AP18" s="120"/>
      <c r="AQ18" s="117"/>
      <c r="AR18" s="201"/>
      <c r="AS18" s="202"/>
      <c r="AT18" s="201"/>
      <c r="AU18" s="203"/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 t="str">
        <f t="shared" si="4"/>
        <v/>
      </c>
      <c r="BG18" s="18" t="str">
        <f t="shared" si="5"/>
        <v/>
      </c>
      <c r="BH18" s="18"/>
    </row>
    <row r="19" spans="1:60" s="129" customFormat="1" ht="8.25" customHeight="1">
      <c r="A19" s="1"/>
      <c r="B19" s="2"/>
      <c r="C19" s="3"/>
      <c r="D19" s="138"/>
      <c r="E19" s="4"/>
      <c r="F19" s="5"/>
      <c r="G19" s="6"/>
      <c r="H19" s="7"/>
      <c r="I19" s="7"/>
      <c r="J19" s="6"/>
      <c r="K19" s="7"/>
      <c r="L19" s="126"/>
      <c r="M19" s="130"/>
      <c r="N19" s="130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5"/>
      <c r="AS19" s="16"/>
      <c r="AT19" s="15"/>
      <c r="AU19" s="17"/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s="129" customFormat="1" ht="8.25" customHeight="1">
      <c r="A20" s="1"/>
      <c r="B20" s="2"/>
      <c r="C20" s="3"/>
      <c r="D20" s="138"/>
      <c r="E20" s="4"/>
      <c r="F20" s="5"/>
      <c r="G20" s="6"/>
      <c r="H20" s="7"/>
      <c r="I20" s="7"/>
      <c r="J20" s="6"/>
      <c r="K20" s="7"/>
      <c r="L20" s="126"/>
      <c r="M20" s="130"/>
      <c r="N20" s="130"/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F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 t="str">
        <f t="shared" si="4"/>
        <v/>
      </c>
      <c r="BG20" s="18" t="str">
        <f t="shared" si="5"/>
        <v/>
      </c>
      <c r="BH20" s="18"/>
    </row>
    <row r="21" spans="1:60" s="129" customFormat="1" ht="8.25" customHeight="1">
      <c r="A21" s="1"/>
      <c r="B21" s="2"/>
      <c r="C21" s="3"/>
      <c r="D21" s="138"/>
      <c r="E21" s="4"/>
      <c r="F21" s="5"/>
      <c r="G21" s="6"/>
      <c r="H21" s="7"/>
      <c r="I21" s="7"/>
      <c r="J21" s="6"/>
      <c r="K21" s="7"/>
      <c r="L21" s="126"/>
      <c r="M21" s="130"/>
      <c r="N21" s="130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6"/>
      <c r="AS21" s="16"/>
      <c r="AT21" s="16"/>
      <c r="AU21" s="51"/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s="129" customFormat="1" ht="8.25" customHeight="1">
      <c r="A22" s="1"/>
      <c r="B22" s="2"/>
      <c r="C22" s="3"/>
      <c r="D22" s="138"/>
      <c r="E22" s="4"/>
      <c r="F22" s="5"/>
      <c r="G22" s="6"/>
      <c r="H22" s="7"/>
      <c r="I22" s="7"/>
      <c r="J22" s="6"/>
      <c r="K22" s="7"/>
      <c r="L22" s="126"/>
      <c r="M22" s="130"/>
      <c r="N22" s="130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5"/>
      <c r="AS22" s="16"/>
      <c r="AT22" s="15"/>
      <c r="AU22" s="17"/>
      <c r="AV22" s="18"/>
      <c r="AW22" s="18" t="str">
        <f t="shared" si="0"/>
        <v/>
      </c>
      <c r="AX22" s="18" t="str">
        <f t="shared" si="1"/>
        <v/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s="129" customFormat="1" ht="8.25" customHeight="1">
      <c r="A23" s="1"/>
      <c r="B23" s="2"/>
      <c r="C23" s="3"/>
      <c r="D23" s="138"/>
      <c r="E23" s="4"/>
      <c r="F23" s="5"/>
      <c r="G23" s="6"/>
      <c r="H23" s="7"/>
      <c r="I23" s="7"/>
      <c r="J23" s="6"/>
      <c r="K23" s="7"/>
      <c r="L23" s="126"/>
      <c r="M23" s="130"/>
      <c r="N23" s="130"/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F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5"/>
      <c r="AS23" s="16"/>
      <c r="AT23" s="15"/>
      <c r="AU23" s="17"/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 t="str">
        <f t="shared" si="4"/>
        <v/>
      </c>
      <c r="BG23" s="18" t="str">
        <f t="shared" si="5"/>
        <v/>
      </c>
      <c r="BH23" s="18"/>
    </row>
    <row r="24" spans="1:60" s="129" customFormat="1" ht="8.25" customHeight="1">
      <c r="A24" s="1"/>
      <c r="B24" s="2"/>
      <c r="C24" s="3"/>
      <c r="D24" s="138"/>
      <c r="E24" s="4"/>
      <c r="F24" s="5"/>
      <c r="G24" s="6"/>
      <c r="H24" s="7"/>
      <c r="I24" s="7"/>
      <c r="J24" s="6"/>
      <c r="K24" s="7"/>
      <c r="L24" s="126"/>
      <c r="M24" s="130"/>
      <c r="N24" s="130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s="129" customFormat="1" ht="8.25" customHeight="1">
      <c r="A25" s="1"/>
      <c r="B25" s="2"/>
      <c r="C25" s="3"/>
      <c r="D25" s="138"/>
      <c r="E25" s="4"/>
      <c r="F25" s="5"/>
      <c r="G25" s="6"/>
      <c r="H25" s="7"/>
      <c r="I25" s="7"/>
      <c r="J25" s="6"/>
      <c r="K25" s="7"/>
      <c r="L25" s="126"/>
      <c r="M25" s="130"/>
      <c r="N25" s="130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6"/>
      <c r="AS25" s="16"/>
      <c r="AT25" s="16"/>
      <c r="AU25" s="51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s="129" customFormat="1" ht="8.25" customHeight="1">
      <c r="A26" s="1"/>
      <c r="B26" s="2"/>
      <c r="C26" s="3"/>
      <c r="D26" s="138"/>
      <c r="E26" s="4"/>
      <c r="F26" s="5"/>
      <c r="G26" s="6"/>
      <c r="H26" s="7"/>
      <c r="I26" s="7"/>
      <c r="J26" s="6"/>
      <c r="K26" s="7"/>
      <c r="L26" s="126"/>
      <c r="M26" s="130"/>
      <c r="N26" s="130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s="129" customFormat="1" ht="8.25" customHeight="1">
      <c r="A27" s="1"/>
      <c r="B27" s="2"/>
      <c r="C27" s="3"/>
      <c r="D27" s="138"/>
      <c r="E27" s="4"/>
      <c r="F27" s="5"/>
      <c r="G27" s="6"/>
      <c r="H27" s="7"/>
      <c r="I27" s="7"/>
      <c r="J27" s="6"/>
      <c r="K27" s="7"/>
      <c r="L27" s="126"/>
      <c r="M27" s="130"/>
      <c r="N27" s="130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5"/>
      <c r="AS27" s="16"/>
      <c r="AT27" s="15"/>
      <c r="AU27" s="17"/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 t="str">
        <f t="shared" si="4"/>
        <v/>
      </c>
      <c r="BG27" s="18" t="str">
        <f t="shared" si="5"/>
        <v/>
      </c>
      <c r="BH27" s="18"/>
    </row>
    <row r="28" spans="1:60" s="129" customFormat="1" ht="8.25" customHeight="1">
      <c r="A28" s="1"/>
      <c r="B28" s="2"/>
      <c r="C28" s="3"/>
      <c r="D28" s="138"/>
      <c r="E28" s="4"/>
      <c r="F28" s="5"/>
      <c r="G28" s="6"/>
      <c r="H28" s="7"/>
      <c r="I28" s="7"/>
      <c r="J28" s="6"/>
      <c r="K28" s="7"/>
      <c r="L28" s="126"/>
      <c r="M28" s="130"/>
      <c r="N28" s="130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5"/>
      <c r="AS28" s="16"/>
      <c r="AT28" s="15"/>
      <c r="AU28" s="17"/>
      <c r="AV28" s="18"/>
      <c r="AW28" s="18" t="str">
        <f t="shared" si="0"/>
        <v/>
      </c>
      <c r="AX28" s="18" t="str">
        <f t="shared" si="1"/>
        <v/>
      </c>
      <c r="AY28" s="18"/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/>
      <c r="BF28" s="18" t="str">
        <f t="shared" si="4"/>
        <v/>
      </c>
      <c r="BG28" s="18" t="str">
        <f t="shared" si="5"/>
        <v/>
      </c>
      <c r="BH28" s="18"/>
    </row>
    <row r="29" spans="1:60" s="129" customFormat="1" ht="8.25" customHeight="1" thickBot="1">
      <c r="A29" s="31"/>
      <c r="B29" s="32"/>
      <c r="C29" s="33"/>
      <c r="D29" s="34"/>
      <c r="E29" s="35"/>
      <c r="F29" s="36"/>
      <c r="G29" s="32"/>
      <c r="H29" s="37"/>
      <c r="I29" s="37"/>
      <c r="J29" s="32"/>
      <c r="K29" s="37"/>
      <c r="L29" s="141"/>
      <c r="M29" s="142"/>
      <c r="N29" s="142"/>
      <c r="O29" s="32"/>
      <c r="P29" s="57"/>
      <c r="Q29" s="41"/>
      <c r="R29" s="42"/>
      <c r="S29" s="43"/>
      <c r="T29" s="39"/>
      <c r="U29" s="39"/>
      <c r="V29" s="39"/>
      <c r="W29" s="39"/>
      <c r="X29" s="39"/>
      <c r="Y29" s="39"/>
      <c r="Z29" s="39"/>
      <c r="AA29" s="39"/>
      <c r="AB29" s="60"/>
      <c r="AC29" s="63"/>
      <c r="AD29" s="39"/>
      <c r="AE29" s="39"/>
      <c r="AF29" s="39"/>
      <c r="AG29" s="39"/>
      <c r="AH29" s="39"/>
      <c r="AI29" s="39"/>
      <c r="AJ29" s="39"/>
      <c r="AK29" s="39"/>
      <c r="AL29" s="40"/>
      <c r="AM29" s="43"/>
      <c r="AN29" s="39"/>
      <c r="AO29" s="35"/>
      <c r="AP29" s="43"/>
      <c r="AQ29" s="37"/>
      <c r="AR29" s="37"/>
      <c r="AS29" s="32"/>
      <c r="AT29" s="37"/>
      <c r="AU29" s="44"/>
      <c r="AV29" s="18"/>
      <c r="AW29" s="18" t="str">
        <f t="shared" si="0"/>
        <v/>
      </c>
      <c r="AX29" s="18" t="str">
        <f t="shared" si="1"/>
        <v/>
      </c>
      <c r="AY29" s="18" t="str">
        <f>IF(AND($AP29="TC",NOT(ISBLANK($AT29))),$AT29,"")</f>
        <v/>
      </c>
      <c r="AZ29" s="18"/>
      <c r="BA29" s="18"/>
      <c r="BB29" s="18"/>
      <c r="BC29" s="18" t="str">
        <f t="shared" si="2"/>
        <v/>
      </c>
      <c r="BD29" s="18" t="str">
        <f t="shared" si="3"/>
        <v/>
      </c>
      <c r="BE29" s="18" t="str">
        <f>IF(AND($AP29="HTS",NOT(ISBLANK($AT29))),$AT29,"")</f>
        <v/>
      </c>
      <c r="BF29" s="18" t="str">
        <f t="shared" si="4"/>
        <v/>
      </c>
      <c r="BG29" s="18" t="str">
        <f t="shared" si="5"/>
        <v/>
      </c>
      <c r="BH29" s="18" t="str">
        <f>IF(AND($AP29="HAST",NOT(ISBLANK($AT29))),$AT29,"")</f>
        <v/>
      </c>
    </row>
    <row r="30" spans="1:60" ht="9" customHeight="1" thickBot="1">
      <c r="A30" s="74"/>
      <c r="B30" s="74"/>
      <c r="C30" s="18"/>
      <c r="D30" s="74"/>
      <c r="E30" s="74"/>
      <c r="F30" s="18"/>
      <c r="G30" s="18"/>
      <c r="H30" s="18"/>
      <c r="I30" s="74"/>
      <c r="J30" s="75"/>
      <c r="K30" s="74"/>
      <c r="L30" s="337"/>
      <c r="M30" s="332"/>
      <c r="N30" s="332"/>
      <c r="O30" s="74"/>
      <c r="P30" s="74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</row>
    <row r="31" spans="1:60" ht="8.25" customHeight="1">
      <c r="A31" s="74"/>
      <c r="B31" s="74"/>
      <c r="C31" s="74"/>
      <c r="D31" s="74"/>
      <c r="E31" s="74"/>
      <c r="F31" s="18"/>
      <c r="G31" s="18"/>
      <c r="H31" s="18"/>
      <c r="I31" s="74"/>
      <c r="J31" s="75"/>
      <c r="K31" s="74"/>
      <c r="L31" s="337"/>
      <c r="M31" s="332"/>
      <c r="N31" s="332"/>
      <c r="O31" s="74"/>
      <c r="P31" s="74"/>
      <c r="Q31" s="18"/>
      <c r="R31" s="111" t="s">
        <v>59</v>
      </c>
      <c r="S31" s="86">
        <f>AVERAGE(S$5:S29)</f>
        <v>0</v>
      </c>
      <c r="T31" s="86">
        <f>AVERAGE(T$5:T29)</f>
        <v>0</v>
      </c>
      <c r="U31" s="86">
        <f>AVERAGE(U$5:U29)</f>
        <v>0</v>
      </c>
      <c r="V31" s="86">
        <f>AVERAGE(V$5:V29)</f>
        <v>0</v>
      </c>
      <c r="W31" s="86">
        <f>AVERAGE(W$5:W29)</f>
        <v>0</v>
      </c>
      <c r="X31" s="86">
        <f>AVERAGE(X$5:X29)</f>
        <v>0</v>
      </c>
      <c r="Y31" s="86">
        <f>AVERAGE(Y$5:Y29)</f>
        <v>0</v>
      </c>
      <c r="Z31" s="86">
        <f>AVERAGE(Z$5:Z29)</f>
        <v>0</v>
      </c>
      <c r="AA31" s="86" t="e">
        <f>AVERAGE(AA$5:AA29)</f>
        <v>#DIV/0!</v>
      </c>
      <c r="AB31" s="86" t="e">
        <f>AVERAGE(AB$5:AB29)</f>
        <v>#DIV/0!</v>
      </c>
      <c r="AC31" s="86">
        <f>AVERAGE(AC$5:AC29)</f>
        <v>0</v>
      </c>
      <c r="AD31" s="86">
        <f>AVERAGE(AD$5:AD29)</f>
        <v>0</v>
      </c>
      <c r="AE31" s="86">
        <f>AVERAGE(AE$5:AE29)</f>
        <v>0</v>
      </c>
      <c r="AF31" s="86">
        <f>AVERAGE(AF$5:AF29)</f>
        <v>0</v>
      </c>
      <c r="AG31" s="86">
        <f>AVERAGE(AG$5:AG29)</f>
        <v>0</v>
      </c>
      <c r="AH31" s="86">
        <f>AVERAGE(AH$5:AH29)</f>
        <v>0</v>
      </c>
      <c r="AI31" s="86">
        <f>AVERAGE(AI$5:AI29)</f>
        <v>0</v>
      </c>
      <c r="AJ31" s="87">
        <f>AVERAGE(AJ$5:AJ29)</f>
        <v>0</v>
      </c>
      <c r="AK31" s="83" t="e">
        <f>AVERAGE(AK$5:AK29)</f>
        <v>#DIV/0!</v>
      </c>
      <c r="AL31" s="46" t="e">
        <f>AVERAGE(AL$5:AL29)</f>
        <v>#DIV/0!</v>
      </c>
      <c r="AM31" s="72"/>
      <c r="AN31" s="18"/>
      <c r="AO31" s="18"/>
      <c r="AP31" s="47" t="s">
        <v>60</v>
      </c>
      <c r="AQ31" s="45" t="s">
        <v>61</v>
      </c>
      <c r="AR31" s="45" t="s">
        <v>62</v>
      </c>
      <c r="AS31" s="46" t="s">
        <v>41</v>
      </c>
      <c r="AT31" s="18"/>
      <c r="AU31" s="18"/>
      <c r="AV31" s="18"/>
      <c r="AW31" s="76">
        <f t="shared" ref="AW31:BH31" si="6">SUM(AW5:AW29)</f>
        <v>66000</v>
      </c>
      <c r="AX31" s="76">
        <f t="shared" si="6"/>
        <v>66</v>
      </c>
      <c r="AY31" s="76">
        <f t="shared" si="6"/>
        <v>0</v>
      </c>
      <c r="AZ31" s="76">
        <f t="shared" si="6"/>
        <v>0</v>
      </c>
      <c r="BA31" s="76">
        <f t="shared" si="6"/>
        <v>0</v>
      </c>
      <c r="BB31" s="76">
        <f t="shared" si="6"/>
        <v>0</v>
      </c>
      <c r="BC31" s="76">
        <f t="shared" si="6"/>
        <v>88000</v>
      </c>
      <c r="BD31" s="76">
        <f t="shared" si="6"/>
        <v>88</v>
      </c>
      <c r="BE31" s="76">
        <f t="shared" si="6"/>
        <v>0</v>
      </c>
      <c r="BF31" s="76">
        <f t="shared" si="6"/>
        <v>46112</v>
      </c>
      <c r="BG31" s="76">
        <f t="shared" si="6"/>
        <v>66</v>
      </c>
      <c r="BH31" s="76">
        <f t="shared" si="6"/>
        <v>0</v>
      </c>
    </row>
    <row r="32" spans="1:60" ht="8.25" customHeight="1">
      <c r="A32" s="74"/>
      <c r="B32" s="74"/>
      <c r="C32" s="74"/>
      <c r="D32" s="74"/>
      <c r="E32" s="74"/>
      <c r="F32" s="18"/>
      <c r="G32" s="18"/>
      <c r="H32" s="18"/>
      <c r="I32" s="74"/>
      <c r="J32" s="75"/>
      <c r="K32" s="74"/>
      <c r="L32" s="337"/>
      <c r="M32" s="332"/>
      <c r="N32" s="332"/>
      <c r="O32" s="74"/>
      <c r="P32" s="74"/>
      <c r="Q32" s="18"/>
      <c r="R32" s="112" t="s">
        <v>63</v>
      </c>
      <c r="S32" s="2">
        <f>MIN(S$5:S29)</f>
        <v>0</v>
      </c>
      <c r="T32" s="2">
        <f>MIN(T$5:T29)</f>
        <v>0</v>
      </c>
      <c r="U32" s="2">
        <f>MIN(U$5:U29)</f>
        <v>0</v>
      </c>
      <c r="V32" s="2">
        <f>MIN(V$5:V29)</f>
        <v>0</v>
      </c>
      <c r="W32" s="2">
        <f>MIN(W$5:W29)</f>
        <v>0</v>
      </c>
      <c r="X32" s="2">
        <f>MIN(X$5:X29)</f>
        <v>0</v>
      </c>
      <c r="Y32" s="2">
        <f>MIN(Y$5:Y29)</f>
        <v>0</v>
      </c>
      <c r="Z32" s="2">
        <f>MIN(Z$5:Z29)</f>
        <v>0</v>
      </c>
      <c r="AA32" s="2">
        <f>MIN(AA$5:AA29)</f>
        <v>0</v>
      </c>
      <c r="AB32" s="2">
        <f>MIN(AB$5:AB29)</f>
        <v>0</v>
      </c>
      <c r="AC32" s="2">
        <f>MIN(AC$5:AC29)</f>
        <v>0</v>
      </c>
      <c r="AD32" s="2">
        <f>MIN(AD$5:AD29)</f>
        <v>0</v>
      </c>
      <c r="AE32" s="2">
        <f>MIN(AE$5:AE29)</f>
        <v>0</v>
      </c>
      <c r="AF32" s="2">
        <f>MIN(AF$5:AF29)</f>
        <v>0</v>
      </c>
      <c r="AG32" s="2">
        <f>MIN(AG$5:AG29)</f>
        <v>0</v>
      </c>
      <c r="AH32" s="2">
        <f>MIN(AH$5:AH29)</f>
        <v>0</v>
      </c>
      <c r="AI32" s="2">
        <f>MIN(AI$5:AI29)</f>
        <v>0</v>
      </c>
      <c r="AJ32" s="88">
        <f>MIN(AJ$5:AJ29)</f>
        <v>0</v>
      </c>
      <c r="AK32" s="84">
        <f>MIN(AK$5:AK29)</f>
        <v>0</v>
      </c>
      <c r="AL32" s="29">
        <f>MIN(AL$5:AL29)</f>
        <v>0</v>
      </c>
      <c r="AM32" s="72"/>
      <c r="AN32" s="18"/>
      <c r="AO32" s="18"/>
      <c r="AP32" s="48" t="s">
        <v>64</v>
      </c>
      <c r="AQ32" s="2" t="s">
        <v>65</v>
      </c>
      <c r="AR32" s="2">
        <f>SUM(AN5:AN29)</f>
        <v>220</v>
      </c>
      <c r="AS32" s="29">
        <f>SUM(AM5:AM29)</f>
        <v>0</v>
      </c>
      <c r="AT32" s="18"/>
      <c r="AU32" s="18"/>
      <c r="AV32" s="18"/>
      <c r="AW32" s="77" t="s">
        <v>45</v>
      </c>
      <c r="AX32" s="77" t="s">
        <v>46</v>
      </c>
      <c r="AY32" s="77" t="s">
        <v>47</v>
      </c>
      <c r="AZ32" s="77" t="s">
        <v>48</v>
      </c>
      <c r="BA32" s="77" t="s">
        <v>49</v>
      </c>
      <c r="BB32" s="77" t="s">
        <v>50</v>
      </c>
      <c r="BC32" s="77" t="s">
        <v>51</v>
      </c>
      <c r="BD32" s="77" t="s">
        <v>52</v>
      </c>
      <c r="BE32" s="77" t="s">
        <v>53</v>
      </c>
      <c r="BF32" s="77" t="s">
        <v>54</v>
      </c>
      <c r="BG32" s="77" t="s">
        <v>55</v>
      </c>
      <c r="BH32" s="77" t="s">
        <v>56</v>
      </c>
    </row>
    <row r="33" spans="1:60" ht="8.25" customHeight="1">
      <c r="A33" s="74"/>
      <c r="B33" s="74"/>
      <c r="C33" s="74"/>
      <c r="D33" s="74"/>
      <c r="E33" s="74"/>
      <c r="F33" s="18"/>
      <c r="G33" s="18"/>
      <c r="H33" s="18"/>
      <c r="I33" s="74"/>
      <c r="J33" s="75"/>
      <c r="K33" s="74"/>
      <c r="L33" s="337"/>
      <c r="M33" s="332"/>
      <c r="N33" s="332"/>
      <c r="O33" s="74"/>
      <c r="P33" s="74"/>
      <c r="Q33" s="18"/>
      <c r="R33" s="112" t="s">
        <v>146</v>
      </c>
      <c r="S33" s="2">
        <f>MAX(S$5:S29)</f>
        <v>0</v>
      </c>
      <c r="T33" s="2">
        <f>MAX(T$5:T29)</f>
        <v>0</v>
      </c>
      <c r="U33" s="2">
        <f>MAX(U$5:U29)</f>
        <v>0</v>
      </c>
      <c r="V33" s="2">
        <f>MAX(V$5:V29)</f>
        <v>0</v>
      </c>
      <c r="W33" s="2">
        <f>MAX(W$5:W29)</f>
        <v>0</v>
      </c>
      <c r="X33" s="2">
        <f>MAX(X$5:X29)</f>
        <v>0</v>
      </c>
      <c r="Y33" s="2">
        <f>MAX(Y$5:Y29)</f>
        <v>0</v>
      </c>
      <c r="Z33" s="2">
        <f>MAX(Z$5:Z29)</f>
        <v>0</v>
      </c>
      <c r="AA33" s="2">
        <f>MAX(AA$5:AA29)</f>
        <v>0</v>
      </c>
      <c r="AB33" s="2">
        <f>MAX(AB$5:AB29)</f>
        <v>0</v>
      </c>
      <c r="AC33" s="2">
        <f>MAX(AC$5:AC29)</f>
        <v>0</v>
      </c>
      <c r="AD33" s="2">
        <f>MAX(AD$5:AD29)</f>
        <v>0</v>
      </c>
      <c r="AE33" s="2">
        <f>MAX(AE$5:AE29)</f>
        <v>0</v>
      </c>
      <c r="AF33" s="2">
        <f>MAX(AF$5:AF29)</f>
        <v>0</v>
      </c>
      <c r="AG33" s="2">
        <f>MAX(AG$5:AG29)</f>
        <v>0</v>
      </c>
      <c r="AH33" s="2">
        <f>MAX(AH$5:AH29)</f>
        <v>0</v>
      </c>
      <c r="AI33" s="2">
        <f>MAX(AI$5:AI29)</f>
        <v>0</v>
      </c>
      <c r="AJ33" s="88">
        <f>MAX(AJ$5:AJ29)</f>
        <v>0</v>
      </c>
      <c r="AK33" s="84">
        <f>MAX(AK$5:AK29)</f>
        <v>0</v>
      </c>
      <c r="AL33" s="29">
        <f>MAX(AL$5:AL29)</f>
        <v>0</v>
      </c>
      <c r="AM33" s="72"/>
      <c r="AN33" s="18"/>
      <c r="AO33" s="18"/>
      <c r="AP33" s="48" t="s">
        <v>46</v>
      </c>
      <c r="AQ33" s="2">
        <f>AW31</f>
        <v>66000</v>
      </c>
      <c r="AR33" s="2">
        <f>AX31</f>
        <v>66</v>
      </c>
      <c r="AS33" s="29">
        <f>AY31</f>
        <v>0</v>
      </c>
      <c r="AT33" s="18"/>
      <c r="AU33" s="18"/>
      <c r="AV33" s="18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</row>
    <row r="34" spans="1:60" ht="8.25" customHeight="1">
      <c r="A34" s="74"/>
      <c r="B34" s="74"/>
      <c r="C34" s="74"/>
      <c r="D34" s="74"/>
      <c r="E34" s="74"/>
      <c r="F34" s="18"/>
      <c r="G34" s="18"/>
      <c r="H34" s="18"/>
      <c r="I34" s="74"/>
      <c r="J34" s="75"/>
      <c r="K34" s="74"/>
      <c r="L34" s="75"/>
      <c r="M34" s="18"/>
      <c r="N34" s="18"/>
      <c r="O34" s="74"/>
      <c r="P34" s="74"/>
      <c r="Q34" s="18"/>
      <c r="R34" s="112" t="s">
        <v>66</v>
      </c>
      <c r="S34" s="2">
        <f>STDEV(S$5:S29)</f>
        <v>0</v>
      </c>
      <c r="T34" s="2">
        <f>STDEV(T$5:T29)</f>
        <v>0</v>
      </c>
      <c r="U34" s="2">
        <f>STDEV(U$5:U29)</f>
        <v>0</v>
      </c>
      <c r="V34" s="2">
        <f>STDEV(V$5:V29)</f>
        <v>0</v>
      </c>
      <c r="W34" s="2">
        <f>STDEV(W$5:W29)</f>
        <v>0</v>
      </c>
      <c r="X34" s="2">
        <f>STDEV(X$5:X29)</f>
        <v>0</v>
      </c>
      <c r="Y34" s="2">
        <f>STDEV(Y$5:Y29)</f>
        <v>0</v>
      </c>
      <c r="Z34" s="2">
        <f>STDEV(Z$5:Z29)</f>
        <v>0</v>
      </c>
      <c r="AA34" s="2" t="e">
        <f>STDEV(AA$5:AA29)</f>
        <v>#DIV/0!</v>
      </c>
      <c r="AB34" s="2" t="e">
        <f>STDEV(AB$5:AB29)</f>
        <v>#DIV/0!</v>
      </c>
      <c r="AC34" s="2">
        <f>STDEV(AC$5:AC29)</f>
        <v>0</v>
      </c>
      <c r="AD34" s="2">
        <f>STDEV(AD$5:AD29)</f>
        <v>0</v>
      </c>
      <c r="AE34" s="2">
        <f>STDEV(AE$5:AE29)</f>
        <v>0</v>
      </c>
      <c r="AF34" s="2">
        <f>STDEV(AF$5:AF29)</f>
        <v>0</v>
      </c>
      <c r="AG34" s="2">
        <f>STDEV(AG$5:AG29)</f>
        <v>0</v>
      </c>
      <c r="AH34" s="2">
        <f>STDEV(AH$5:AH29)</f>
        <v>0</v>
      </c>
      <c r="AI34" s="2">
        <f>STDEV(AI$5:AI29)</f>
        <v>0</v>
      </c>
      <c r="AJ34" s="88">
        <f>STDEV(AJ$5:AJ29)</f>
        <v>0</v>
      </c>
      <c r="AK34" s="84" t="e">
        <f>STDEV(AK$5:AK29)</f>
        <v>#DIV/0!</v>
      </c>
      <c r="AL34" s="29" t="e">
        <f>STDEV(AL$5:AL29)</f>
        <v>#DIV/0!</v>
      </c>
      <c r="AM34" s="72"/>
      <c r="AN34" s="18"/>
      <c r="AO34" s="18"/>
      <c r="AP34" s="48" t="s">
        <v>49</v>
      </c>
      <c r="AQ34" s="2">
        <f>AZ31</f>
        <v>0</v>
      </c>
      <c r="AR34" s="2">
        <f>BA31</f>
        <v>0</v>
      </c>
      <c r="AS34" s="29">
        <f>BB31</f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</row>
    <row r="35" spans="1:60" ht="9" customHeight="1" thickBot="1">
      <c r="A35" s="74"/>
      <c r="B35" s="74"/>
      <c r="C35" s="74"/>
      <c r="D35" s="74"/>
      <c r="E35" s="74"/>
      <c r="F35" s="18"/>
      <c r="G35" s="18"/>
      <c r="H35" s="18"/>
      <c r="I35" s="74"/>
      <c r="J35" s="75"/>
      <c r="K35" s="74"/>
      <c r="L35" s="75"/>
      <c r="M35" s="18"/>
      <c r="N35" s="18"/>
      <c r="O35" s="74"/>
      <c r="P35" s="74"/>
      <c r="Q35" s="18"/>
      <c r="R35" s="113" t="s">
        <v>67</v>
      </c>
      <c r="S35" s="89">
        <f t="shared" ref="S35:X35" si="7">IF(S31+(3*S34)&gt;100,100,S31+(3*S34))</f>
        <v>0</v>
      </c>
      <c r="T35" s="89">
        <f t="shared" si="7"/>
        <v>0</v>
      </c>
      <c r="U35" s="89">
        <f t="shared" si="7"/>
        <v>0</v>
      </c>
      <c r="V35" s="89">
        <f t="shared" si="7"/>
        <v>0</v>
      </c>
      <c r="W35" s="89">
        <f t="shared" si="7"/>
        <v>0</v>
      </c>
      <c r="X35" s="89">
        <f t="shared" si="7"/>
        <v>0</v>
      </c>
      <c r="Y35" s="89">
        <f t="shared" ref="Y35:AJ35" si="8">IF(Y31+(3*Y34)&gt;100,100,Y31+(3*Y34))</f>
        <v>0</v>
      </c>
      <c r="Z35" s="89">
        <f t="shared" si="8"/>
        <v>0</v>
      </c>
      <c r="AA35" s="89" t="e">
        <f t="shared" si="8"/>
        <v>#DIV/0!</v>
      </c>
      <c r="AB35" s="89" t="e">
        <f t="shared" si="8"/>
        <v>#DIV/0!</v>
      </c>
      <c r="AC35" s="89">
        <f t="shared" si="8"/>
        <v>0</v>
      </c>
      <c r="AD35" s="89">
        <f t="shared" si="8"/>
        <v>0</v>
      </c>
      <c r="AE35" s="89">
        <f t="shared" si="8"/>
        <v>0</v>
      </c>
      <c r="AF35" s="89">
        <f t="shared" si="8"/>
        <v>0</v>
      </c>
      <c r="AG35" s="89">
        <f t="shared" si="8"/>
        <v>0</v>
      </c>
      <c r="AH35" s="89">
        <f t="shared" si="8"/>
        <v>0</v>
      </c>
      <c r="AI35" s="89">
        <f t="shared" si="8"/>
        <v>0</v>
      </c>
      <c r="AJ35" s="90">
        <f t="shared" si="8"/>
        <v>0</v>
      </c>
      <c r="AK35" s="85" t="e">
        <f>IF(AK31+(3*AK34)&gt;100,100,AK31+(3*AK34))</f>
        <v>#DIV/0!</v>
      </c>
      <c r="AL35" s="49" t="e">
        <f>IF(AL31+(3*AL34)&gt;100,100,AL31+(3*AL34))</f>
        <v>#DIV/0!</v>
      </c>
      <c r="AM35" s="72"/>
      <c r="AN35" s="18"/>
      <c r="AO35" s="18"/>
      <c r="AP35" s="48" t="s">
        <v>52</v>
      </c>
      <c r="AQ35" s="2">
        <f>BC31</f>
        <v>88000</v>
      </c>
      <c r="AR35" s="2">
        <f>BD31</f>
        <v>88</v>
      </c>
      <c r="AS35" s="29">
        <f>BE31</f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</row>
    <row r="36" spans="1:60" ht="9" customHeight="1" thickBot="1">
      <c r="A36" s="74"/>
      <c r="B36" s="74"/>
      <c r="C36" s="74"/>
      <c r="D36" s="74"/>
      <c r="E36" s="74"/>
      <c r="F36" s="18"/>
      <c r="G36" s="18"/>
      <c r="H36" s="18"/>
      <c r="I36" s="74"/>
      <c r="J36" s="75"/>
      <c r="K36" s="74"/>
      <c r="L36" s="75"/>
      <c r="M36" s="18"/>
      <c r="N36" s="18"/>
      <c r="O36" s="74"/>
      <c r="P36" s="74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72"/>
      <c r="AI36" s="18"/>
      <c r="AJ36" s="18"/>
      <c r="AK36" s="18"/>
      <c r="AL36" s="18"/>
      <c r="AM36" s="18"/>
      <c r="AN36" s="18"/>
      <c r="AO36" s="18"/>
      <c r="AP36" s="50" t="s">
        <v>58</v>
      </c>
      <c r="AQ36" s="32">
        <f>BF31</f>
        <v>46112</v>
      </c>
      <c r="AR36" s="32">
        <f>BG31</f>
        <v>66</v>
      </c>
      <c r="AS36" s="49">
        <f>BH31</f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 t="str">
        <f>IF(AND($AP36="HAST",NOT(ISBLANK($AT36))),$AU36*$AR36,"")</f>
        <v/>
      </c>
      <c r="BG36" s="18" t="str">
        <f>IF(AND($AP36="HAST",NOT(ISBLANK($AT36))),$AU36,"")</f>
        <v/>
      </c>
      <c r="BH36" s="18" t="str">
        <f>IF(AND($AP36="HAST",NOT(ISBLANK($AT36))),$AT36,"")</f>
        <v/>
      </c>
    </row>
    <row r="37" spans="1:60" ht="8.25" customHeight="1">
      <c r="R37" s="18" t="s">
        <v>69</v>
      </c>
      <c r="S37" s="73"/>
      <c r="T37" s="73"/>
    </row>
    <row r="38" spans="1:60" ht="8.25" customHeight="1">
      <c r="R38" s="18"/>
      <c r="S38" s="73" t="s">
        <v>70</v>
      </c>
      <c r="T38" s="73"/>
    </row>
    <row r="39" spans="1:60" ht="8.25" customHeight="1">
      <c r="R39" s="18"/>
      <c r="S39" s="73" t="s">
        <v>71</v>
      </c>
      <c r="T39" s="73"/>
    </row>
    <row r="40" spans="1:60" ht="8.25" customHeight="1">
      <c r="R40" s="18"/>
      <c r="S40" s="73" t="s">
        <v>72</v>
      </c>
      <c r="T40" s="73"/>
    </row>
    <row r="41" spans="1:60" ht="8.25" customHeight="1">
      <c r="R41" s="18"/>
      <c r="S41" s="73" t="s">
        <v>73</v>
      </c>
      <c r="T41" s="73"/>
    </row>
    <row r="42" spans="1:60" ht="8.25" customHeight="1">
      <c r="R42" s="18"/>
      <c r="S42" s="73" t="s">
        <v>74</v>
      </c>
      <c r="T42" s="73"/>
    </row>
  </sheetData>
  <mergeCells count="38">
    <mergeCell ref="AP3:AP4"/>
    <mergeCell ref="AU3:AU4"/>
    <mergeCell ref="L30:N30"/>
    <mergeCell ref="L31:N31"/>
    <mergeCell ref="L32:N32"/>
    <mergeCell ref="AN3:AN4"/>
    <mergeCell ref="AO3:AO4"/>
    <mergeCell ref="L33:N33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</mergeCells>
  <conditionalFormatting sqref="AT19:AT28">
    <cfRule type="cellIs" dxfId="92" priority="2" stopIfTrue="1" operator="equal">
      <formula>"ONGOING"</formula>
    </cfRule>
  </conditionalFormatting>
  <conditionalFormatting sqref="AT5:AT18">
    <cfRule type="cellIs" dxfId="5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CA45-32C4-4521-835D-15EC57376B18}">
  <dimension ref="A1:BH42"/>
  <sheetViews>
    <sheetView showGridLines="0" zoomScale="140" zoomScaleNormal="140" workbookViewId="0">
      <pane xSplit="5" ySplit="4" topLeftCell="S5" activePane="bottomRight" state="frozen"/>
      <selection activeCell="L23" sqref="L23"/>
      <selection pane="topRight" activeCell="L23" sqref="L23"/>
      <selection pane="bottomLeft" activeCell="L23" sqref="L23"/>
      <selection pane="bottomRight" activeCell="AW11" sqref="AW11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5.26953125" style="109" customWidth="1"/>
    <col min="7" max="7" width="1.54296875" style="109" customWidth="1"/>
    <col min="8" max="8" width="5.26953125" style="109" customWidth="1"/>
    <col min="9" max="9" width="6" style="109" customWidth="1"/>
    <col min="10" max="10" width="5.7265625" style="109" customWidth="1"/>
    <col min="11" max="11" width="9.54296875" style="109" customWidth="1"/>
    <col min="12" max="12" width="4.453125" style="143" customWidth="1"/>
    <col min="13" max="13" width="4.26953125" style="109" customWidth="1"/>
    <col min="14" max="14" width="9.1796875" style="109" customWidth="1"/>
    <col min="15" max="15" width="6.81640625" style="109" customWidth="1"/>
    <col min="16" max="16" width="14.81640625" style="109" customWidth="1"/>
    <col min="17" max="17" width="11" style="109" customWidth="1"/>
    <col min="18" max="18" width="8.54296875" style="109" customWidth="1"/>
    <col min="19" max="26" width="2.7265625" style="109" customWidth="1"/>
    <col min="27" max="28" width="2.7265625" style="109" hidden="1" customWidth="1"/>
    <col min="29" max="36" width="2.7265625" style="109" customWidth="1"/>
    <col min="37" max="38" width="2.7265625" style="109" hidden="1" customWidth="1"/>
    <col min="39" max="40" width="2.7265625" style="109" customWidth="1"/>
    <col min="41" max="41" width="5.54296875" style="109" customWidth="1"/>
    <col min="42" max="42" width="5" style="109" customWidth="1"/>
    <col min="43" max="43" width="7.54296875" style="109" customWidth="1"/>
    <col min="44" max="45" width="4.54296875" style="109" customWidth="1"/>
    <col min="46" max="46" width="2.7265625" style="109" customWidth="1"/>
    <col min="47" max="47" width="3" style="109" customWidth="1"/>
    <col min="48" max="48" width="1.26953125" style="109" customWidth="1"/>
    <col min="49" max="49" width="6.54296875" style="109" customWidth="1"/>
    <col min="50" max="50" width="3.7265625" style="109" customWidth="1"/>
    <col min="51" max="51" width="5.54296875" style="109" customWidth="1"/>
    <col min="52" max="54" width="2.81640625" style="109" hidden="1" customWidth="1"/>
    <col min="55" max="55" width="6.54296875" style="109" customWidth="1"/>
    <col min="56" max="56" width="4.26953125" style="109" customWidth="1"/>
    <col min="57" max="57" width="5.7265625" style="109" customWidth="1"/>
    <col min="58" max="58" width="6.7265625" style="109" customWidth="1"/>
    <col min="59" max="59" width="4.26953125" style="109" customWidth="1"/>
    <col min="60" max="60" width="6" style="109" customWidth="1"/>
    <col min="61" max="70" width="9.1796875" style="109" customWidth="1"/>
    <col min="71" max="16384" width="14.453125" style="109"/>
  </cols>
  <sheetData>
    <row r="1" spans="1:60" ht="10.5" customHeight="1">
      <c r="A1" s="322" t="s">
        <v>0</v>
      </c>
      <c r="B1" s="297"/>
      <c r="C1" s="298"/>
      <c r="D1" s="324" t="s">
        <v>1</v>
      </c>
      <c r="E1" s="298"/>
      <c r="F1" s="325" t="s">
        <v>2</v>
      </c>
      <c r="G1" s="326"/>
      <c r="H1" s="326"/>
      <c r="I1" s="326"/>
      <c r="J1" s="326"/>
      <c r="K1" s="326"/>
      <c r="L1" s="326"/>
      <c r="M1" s="326"/>
      <c r="N1" s="326"/>
      <c r="O1" s="326"/>
      <c r="P1" s="327"/>
      <c r="Q1" s="328" t="s">
        <v>3</v>
      </c>
      <c r="R1" s="331" t="s">
        <v>4</v>
      </c>
      <c r="S1" s="334" t="s">
        <v>5</v>
      </c>
      <c r="T1" s="297"/>
      <c r="U1" s="297"/>
      <c r="V1" s="297"/>
      <c r="W1" s="297"/>
      <c r="X1" s="297"/>
      <c r="Y1" s="297"/>
      <c r="Z1" s="297"/>
      <c r="AA1" s="297"/>
      <c r="AB1" s="335"/>
      <c r="AC1" s="296" t="s">
        <v>6</v>
      </c>
      <c r="AD1" s="297"/>
      <c r="AE1" s="297"/>
      <c r="AF1" s="297"/>
      <c r="AG1" s="297"/>
      <c r="AH1" s="297"/>
      <c r="AI1" s="297"/>
      <c r="AJ1" s="297"/>
      <c r="AK1" s="297"/>
      <c r="AL1" s="298"/>
      <c r="AM1" s="302" t="s">
        <v>7</v>
      </c>
      <c r="AN1" s="297"/>
      <c r="AO1" s="303"/>
      <c r="AP1" s="306" t="s">
        <v>8</v>
      </c>
      <c r="AQ1" s="297"/>
      <c r="AR1" s="297"/>
      <c r="AS1" s="297"/>
      <c r="AT1" s="297"/>
      <c r="AU1" s="307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23"/>
      <c r="B2" s="300"/>
      <c r="C2" s="301"/>
      <c r="D2" s="304"/>
      <c r="E2" s="301"/>
      <c r="F2" s="304"/>
      <c r="G2" s="300"/>
      <c r="H2" s="300"/>
      <c r="I2" s="300"/>
      <c r="J2" s="300"/>
      <c r="K2" s="300"/>
      <c r="L2" s="300"/>
      <c r="M2" s="300"/>
      <c r="N2" s="300"/>
      <c r="O2" s="300"/>
      <c r="P2" s="305"/>
      <c r="Q2" s="329"/>
      <c r="R2" s="332"/>
      <c r="S2" s="304"/>
      <c r="T2" s="300"/>
      <c r="U2" s="300"/>
      <c r="V2" s="300"/>
      <c r="W2" s="300"/>
      <c r="X2" s="300"/>
      <c r="Y2" s="300"/>
      <c r="Z2" s="300"/>
      <c r="AA2" s="300"/>
      <c r="AB2" s="336"/>
      <c r="AC2" s="299"/>
      <c r="AD2" s="300"/>
      <c r="AE2" s="300"/>
      <c r="AF2" s="300"/>
      <c r="AG2" s="300"/>
      <c r="AH2" s="300"/>
      <c r="AI2" s="300"/>
      <c r="AJ2" s="300"/>
      <c r="AK2" s="300"/>
      <c r="AL2" s="301"/>
      <c r="AM2" s="304"/>
      <c r="AN2" s="300"/>
      <c r="AO2" s="305"/>
      <c r="AP2" s="300"/>
      <c r="AQ2" s="300"/>
      <c r="AR2" s="300"/>
      <c r="AS2" s="300"/>
      <c r="AT2" s="300"/>
      <c r="AU2" s="308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19"/>
      <c r="H3" s="320"/>
      <c r="I3" s="321" t="s">
        <v>77</v>
      </c>
      <c r="J3" s="319"/>
      <c r="K3" s="320"/>
      <c r="L3" s="139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29"/>
      <c r="R3" s="332"/>
      <c r="S3" s="339" t="s">
        <v>24</v>
      </c>
      <c r="T3" s="320"/>
      <c r="U3" s="338" t="s">
        <v>25</v>
      </c>
      <c r="V3" s="320"/>
      <c r="W3" s="338" t="s">
        <v>26</v>
      </c>
      <c r="X3" s="320"/>
      <c r="Y3" s="338" t="s">
        <v>27</v>
      </c>
      <c r="Z3" s="320"/>
      <c r="AA3" s="338" t="s">
        <v>28</v>
      </c>
      <c r="AB3" s="340"/>
      <c r="AC3" s="341" t="s">
        <v>24</v>
      </c>
      <c r="AD3" s="320"/>
      <c r="AE3" s="338" t="s">
        <v>25</v>
      </c>
      <c r="AF3" s="320"/>
      <c r="AG3" s="338" t="s">
        <v>26</v>
      </c>
      <c r="AH3" s="320"/>
      <c r="AI3" s="338" t="s">
        <v>27</v>
      </c>
      <c r="AJ3" s="320"/>
      <c r="AK3" s="338" t="s">
        <v>28</v>
      </c>
      <c r="AL3" s="320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10"/>
      <c r="B4" s="312"/>
      <c r="C4" s="314"/>
      <c r="D4" s="316"/>
      <c r="E4" s="314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140" t="s">
        <v>68</v>
      </c>
      <c r="M4" s="312"/>
      <c r="N4" s="312"/>
      <c r="O4" s="312"/>
      <c r="P4" s="344"/>
      <c r="Q4" s="330"/>
      <c r="R4" s="333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12"/>
      <c r="AO4" s="351"/>
      <c r="AP4" s="346"/>
      <c r="AQ4" s="28" t="s">
        <v>42</v>
      </c>
      <c r="AR4" s="28" t="s">
        <v>43</v>
      </c>
      <c r="AS4" s="28" t="s">
        <v>44</v>
      </c>
      <c r="AT4" s="28" t="s">
        <v>41</v>
      </c>
      <c r="AU4" s="348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s="129" customFormat="1" ht="8.25" customHeight="1">
      <c r="A5" s="1"/>
      <c r="B5" s="2"/>
      <c r="C5" s="3"/>
      <c r="D5" s="138"/>
      <c r="E5" s="4"/>
      <c r="F5" s="64"/>
      <c r="G5" s="6"/>
      <c r="H5" s="110"/>
      <c r="I5" s="7"/>
      <c r="J5" s="6"/>
      <c r="K5" s="7"/>
      <c r="L5" s="126"/>
      <c r="M5" s="12"/>
      <c r="N5" s="12"/>
      <c r="O5" s="12"/>
      <c r="P5" s="56"/>
      <c r="Q5" s="9"/>
      <c r="R5" s="10"/>
      <c r="S5" s="11"/>
      <c r="T5" s="12"/>
      <c r="U5" s="12"/>
      <c r="V5" s="12"/>
      <c r="W5" s="12"/>
      <c r="X5" s="2"/>
      <c r="Y5" s="2"/>
      <c r="Z5" s="2"/>
      <c r="AA5" s="2"/>
      <c r="AB5" s="59"/>
      <c r="AC5" s="62"/>
      <c r="AD5" s="2"/>
      <c r="AE5" s="2"/>
      <c r="AF5" s="2"/>
      <c r="AG5" s="2"/>
      <c r="AH5" s="2"/>
      <c r="AI5" s="12"/>
      <c r="AJ5" s="12"/>
      <c r="AK5" s="12"/>
      <c r="AL5" s="13"/>
      <c r="AM5" s="11"/>
      <c r="AN5" s="12"/>
      <c r="AO5" s="4"/>
      <c r="AP5" s="14"/>
      <c r="AQ5" s="2"/>
      <c r="AR5" s="16"/>
      <c r="AS5" s="16"/>
      <c r="AT5" s="16"/>
      <c r="AU5" s="51"/>
      <c r="AV5" s="18"/>
      <c r="AW5" s="18" t="str">
        <f t="shared" ref="AW5:AW29" si="0">IF(AND($AP5="TC",NOT(ISBLANK($AT5))),$AU5*$AR5,"")</f>
        <v/>
      </c>
      <c r="AX5" s="18" t="str">
        <f t="shared" ref="AX5:AX29" si="1">IF(AND($AP5="TC",NOT(ISBLANK($AT5))),$AU5,"")</f>
        <v/>
      </c>
      <c r="AY5" s="18"/>
      <c r="AZ5" s="18"/>
      <c r="BA5" s="18"/>
      <c r="BB5" s="18"/>
      <c r="BC5" s="18" t="str">
        <f t="shared" ref="BC5:BC29" si="2">IF(AND($AP5="HTS",NOT(ISBLANK($AT5))),$AU5*$AR5,"")</f>
        <v/>
      </c>
      <c r="BD5" s="18" t="str">
        <f t="shared" ref="BD5:BD29" si="3">IF(AND($AP5="HTS",NOT(ISBLANK($AT5))),$AU5,"")</f>
        <v/>
      </c>
      <c r="BE5" s="18"/>
      <c r="BF5" s="18" t="str">
        <f t="shared" ref="BF5:BF29" si="4">IF(AND($AP5="HAST",NOT(ISBLANK($AT5))),$AU5*$AR5,"")</f>
        <v/>
      </c>
      <c r="BG5" s="18" t="str">
        <f t="shared" ref="BG5:BG29" si="5">IF(AND($AP5="HAST",NOT(ISBLANK($AT5))),$AU5,"")</f>
        <v/>
      </c>
      <c r="BH5" s="18"/>
    </row>
    <row r="6" spans="1:60" s="129" customFormat="1" ht="8.25" customHeight="1">
      <c r="A6" s="1"/>
      <c r="B6" s="2"/>
      <c r="C6" s="3"/>
      <c r="D6" s="138"/>
      <c r="E6" s="4"/>
      <c r="F6" s="5"/>
      <c r="G6" s="6"/>
      <c r="H6" s="7"/>
      <c r="I6" s="7"/>
      <c r="J6" s="6"/>
      <c r="K6" s="7"/>
      <c r="L6" s="126"/>
      <c r="M6" s="12"/>
      <c r="N6" s="12"/>
      <c r="O6" s="2"/>
      <c r="P6" s="56"/>
      <c r="Q6" s="9"/>
      <c r="R6" s="10"/>
      <c r="S6" s="11"/>
      <c r="T6" s="12"/>
      <c r="U6" s="12"/>
      <c r="V6" s="12"/>
      <c r="W6" s="12"/>
      <c r="X6" s="2"/>
      <c r="Y6" s="2"/>
      <c r="Z6" s="2"/>
      <c r="AA6" s="2"/>
      <c r="AB6" s="59"/>
      <c r="AC6" s="62"/>
      <c r="AD6" s="2"/>
      <c r="AE6" s="2"/>
      <c r="AF6" s="2"/>
      <c r="AG6" s="2"/>
      <c r="AH6" s="2"/>
      <c r="AI6" s="12"/>
      <c r="AJ6" s="12"/>
      <c r="AK6" s="12"/>
      <c r="AL6" s="13"/>
      <c r="AM6" s="11"/>
      <c r="AN6" s="12"/>
      <c r="AO6" s="4"/>
      <c r="AP6" s="14"/>
      <c r="AQ6" s="2"/>
      <c r="AR6" s="16"/>
      <c r="AS6" s="16"/>
      <c r="AT6" s="16"/>
      <c r="AU6" s="51"/>
      <c r="AV6" s="18"/>
      <c r="AW6" s="18" t="str">
        <f t="shared" si="0"/>
        <v/>
      </c>
      <c r="AX6" s="18" t="str">
        <f t="shared" si="1"/>
        <v/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s="129" customFormat="1" ht="8.25" customHeight="1">
      <c r="A7" s="1"/>
      <c r="B7" s="2"/>
      <c r="C7" s="3"/>
      <c r="D7" s="138"/>
      <c r="E7" s="4"/>
      <c r="F7" s="5"/>
      <c r="G7" s="6"/>
      <c r="H7" s="7"/>
      <c r="I7" s="7"/>
      <c r="J7" s="6"/>
      <c r="K7" s="7"/>
      <c r="L7" s="126"/>
      <c r="M7" s="12"/>
      <c r="N7" s="12"/>
      <c r="O7" s="2"/>
      <c r="P7" s="56"/>
      <c r="Q7" s="9"/>
      <c r="R7" s="10"/>
      <c r="S7" s="11"/>
      <c r="T7" s="12"/>
      <c r="U7" s="12"/>
      <c r="V7" s="12"/>
      <c r="W7" s="12"/>
      <c r="X7" s="2"/>
      <c r="Y7" s="2"/>
      <c r="Z7" s="2"/>
      <c r="AA7" s="2"/>
      <c r="AB7" s="59"/>
      <c r="AC7" s="62"/>
      <c r="AD7" s="2"/>
      <c r="AE7" s="2"/>
      <c r="AF7" s="2"/>
      <c r="AG7" s="2"/>
      <c r="AH7" s="2"/>
      <c r="AI7" s="12"/>
      <c r="AJ7" s="12"/>
      <c r="AK7" s="12"/>
      <c r="AL7" s="13"/>
      <c r="AM7" s="11"/>
      <c r="AN7" s="12"/>
      <c r="AO7" s="4"/>
      <c r="AP7" s="14"/>
      <c r="AQ7" s="2"/>
      <c r="AR7" s="16"/>
      <c r="AS7" s="16"/>
      <c r="AT7" s="16"/>
      <c r="AU7" s="51"/>
      <c r="AV7" s="18"/>
      <c r="AW7" s="18" t="str">
        <f t="shared" si="0"/>
        <v/>
      </c>
      <c r="AX7" s="18" t="str">
        <f t="shared" si="1"/>
        <v/>
      </c>
      <c r="AY7" s="18"/>
      <c r="AZ7" s="18"/>
      <c r="BA7" s="18"/>
      <c r="BB7" s="18"/>
      <c r="BC7" s="18" t="str">
        <f t="shared" si="2"/>
        <v/>
      </c>
      <c r="BD7" s="18" t="str">
        <f t="shared" si="3"/>
        <v/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s="129" customFormat="1" ht="8.25" customHeight="1">
      <c r="A8" s="1"/>
      <c r="B8" s="2"/>
      <c r="C8" s="3"/>
      <c r="D8" s="138"/>
      <c r="E8" s="4"/>
      <c r="F8" s="5"/>
      <c r="G8" s="6"/>
      <c r="H8" s="7"/>
      <c r="I8" s="7"/>
      <c r="J8" s="6"/>
      <c r="K8" s="7"/>
      <c r="L8" s="126"/>
      <c r="M8" s="12"/>
      <c r="N8" s="12"/>
      <c r="O8" s="2"/>
      <c r="P8" s="56"/>
      <c r="Q8" s="9"/>
      <c r="R8" s="10"/>
      <c r="S8" s="11"/>
      <c r="T8" s="12"/>
      <c r="U8" s="12"/>
      <c r="V8" s="12"/>
      <c r="W8" s="12"/>
      <c r="X8" s="2"/>
      <c r="Y8" s="2"/>
      <c r="Z8" s="2"/>
      <c r="AA8" s="2"/>
      <c r="AB8" s="59"/>
      <c r="AC8" s="62"/>
      <c r="AD8" s="2"/>
      <c r="AE8" s="2"/>
      <c r="AF8" s="2"/>
      <c r="AG8" s="2"/>
      <c r="AH8" s="2"/>
      <c r="AI8" s="12"/>
      <c r="AJ8" s="12"/>
      <c r="AK8" s="12"/>
      <c r="AL8" s="13"/>
      <c r="AM8" s="11"/>
      <c r="AN8" s="12"/>
      <c r="AO8" s="4"/>
      <c r="AP8" s="14"/>
      <c r="AQ8" s="2"/>
      <c r="AR8" s="16"/>
      <c r="AS8" s="16"/>
      <c r="AT8" s="16"/>
      <c r="AU8" s="51"/>
      <c r="AV8" s="18"/>
      <c r="AW8" s="18" t="str">
        <f t="shared" si="0"/>
        <v/>
      </c>
      <c r="AX8" s="18" t="str">
        <f t="shared" si="1"/>
        <v/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 t="str">
        <f t="shared" si="4"/>
        <v/>
      </c>
      <c r="BG8" s="18" t="str">
        <f t="shared" si="5"/>
        <v/>
      </c>
      <c r="BH8" s="18"/>
    </row>
    <row r="9" spans="1:60" s="129" customFormat="1" ht="8.25" customHeight="1">
      <c r="A9" s="1"/>
      <c r="B9" s="2"/>
      <c r="C9" s="3"/>
      <c r="D9" s="138"/>
      <c r="E9" s="4"/>
      <c r="F9" s="5"/>
      <c r="G9" s="6"/>
      <c r="H9" s="7"/>
      <c r="I9" s="7"/>
      <c r="J9" s="6"/>
      <c r="K9" s="7"/>
      <c r="L9" s="126"/>
      <c r="M9" s="12"/>
      <c r="N9" s="12"/>
      <c r="O9" s="2"/>
      <c r="P9" s="56"/>
      <c r="Q9" s="9"/>
      <c r="R9" s="10"/>
      <c r="S9" s="11"/>
      <c r="T9" s="12"/>
      <c r="U9" s="12"/>
      <c r="V9" s="12"/>
      <c r="W9" s="12"/>
      <c r="X9" s="2"/>
      <c r="Y9" s="2"/>
      <c r="Z9" s="2"/>
      <c r="AA9" s="2"/>
      <c r="AB9" s="59"/>
      <c r="AC9" s="62"/>
      <c r="AD9" s="2"/>
      <c r="AE9" s="2"/>
      <c r="AF9" s="2"/>
      <c r="AG9" s="2"/>
      <c r="AH9" s="2"/>
      <c r="AI9" s="12"/>
      <c r="AJ9" s="12"/>
      <c r="AK9" s="12"/>
      <c r="AL9" s="13"/>
      <c r="AM9" s="11"/>
      <c r="AN9" s="12"/>
      <c r="AO9" s="4"/>
      <c r="AP9" s="14"/>
      <c r="AQ9" s="2"/>
      <c r="AR9" s="16"/>
      <c r="AS9" s="16"/>
      <c r="AT9" s="16"/>
      <c r="AU9" s="51"/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 t="str">
        <f t="shared" si="2"/>
        <v/>
      </c>
      <c r="BD9" s="18" t="str">
        <f t="shared" si="3"/>
        <v/>
      </c>
      <c r="BE9" s="18"/>
      <c r="BF9" s="18" t="str">
        <f t="shared" si="4"/>
        <v/>
      </c>
      <c r="BG9" s="18" t="str">
        <f t="shared" si="5"/>
        <v/>
      </c>
      <c r="BH9" s="18"/>
    </row>
    <row r="10" spans="1:60" s="129" customFormat="1" ht="8.25" customHeight="1">
      <c r="A10" s="1"/>
      <c r="B10" s="2"/>
      <c r="C10" s="3"/>
      <c r="D10" s="138"/>
      <c r="E10" s="4"/>
      <c r="F10" s="64"/>
      <c r="G10" s="6"/>
      <c r="H10" s="110"/>
      <c r="I10" s="7"/>
      <c r="J10" s="6"/>
      <c r="K10" s="7"/>
      <c r="L10" s="126"/>
      <c r="M10" s="12"/>
      <c r="N10" s="12"/>
      <c r="O10" s="2"/>
      <c r="P10" s="56"/>
      <c r="Q10" s="9"/>
      <c r="R10" s="10"/>
      <c r="S10" s="11"/>
      <c r="T10" s="12"/>
      <c r="U10" s="12"/>
      <c r="V10" s="12"/>
      <c r="W10" s="12"/>
      <c r="X10" s="2"/>
      <c r="Y10" s="2"/>
      <c r="Z10" s="2"/>
      <c r="AA10" s="2"/>
      <c r="AB10" s="59"/>
      <c r="AC10" s="62"/>
      <c r="AD10" s="2"/>
      <c r="AE10" s="2"/>
      <c r="AF10" s="2"/>
      <c r="AG10" s="2"/>
      <c r="AH10" s="2"/>
      <c r="AI10" s="12"/>
      <c r="AJ10" s="12"/>
      <c r="AK10" s="12"/>
      <c r="AL10" s="13"/>
      <c r="AM10" s="11"/>
      <c r="AN10" s="12"/>
      <c r="AO10" s="4"/>
      <c r="AP10" s="14"/>
      <c r="AQ10" s="2"/>
      <c r="AR10" s="16"/>
      <c r="AS10" s="16"/>
      <c r="AT10" s="16"/>
      <c r="AU10" s="51"/>
      <c r="AV10" s="18"/>
      <c r="AW10" s="18" t="str">
        <f t="shared" si="0"/>
        <v/>
      </c>
      <c r="AX10" s="18" t="str">
        <f t="shared" si="1"/>
        <v/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s="129" customFormat="1" ht="8.25" customHeight="1">
      <c r="A11" s="1"/>
      <c r="B11" s="2"/>
      <c r="C11" s="3"/>
      <c r="D11" s="138"/>
      <c r="E11" s="4"/>
      <c r="F11" s="64"/>
      <c r="G11" s="6"/>
      <c r="H11" s="110"/>
      <c r="I11" s="7"/>
      <c r="J11" s="6"/>
      <c r="K11" s="7"/>
      <c r="L11" s="126"/>
      <c r="M11" s="12"/>
      <c r="N11" s="130"/>
      <c r="O11" s="2"/>
      <c r="P11" s="56"/>
      <c r="Q11" s="9"/>
      <c r="R11" s="10"/>
      <c r="S11" s="11"/>
      <c r="T11" s="12"/>
      <c r="U11" s="12"/>
      <c r="V11" s="12"/>
      <c r="W11" s="12"/>
      <c r="X11" s="2"/>
      <c r="Y11" s="2"/>
      <c r="Z11" s="2"/>
      <c r="AA11" s="2"/>
      <c r="AB11" s="59"/>
      <c r="AC11" s="62"/>
      <c r="AD11" s="2"/>
      <c r="AE11" s="2"/>
      <c r="AF11" s="2"/>
      <c r="AG11" s="2"/>
      <c r="AH11" s="2"/>
      <c r="AI11" s="12"/>
      <c r="AJ11" s="12"/>
      <c r="AK11" s="12"/>
      <c r="AL11" s="13"/>
      <c r="AM11" s="11"/>
      <c r="AN11" s="12"/>
      <c r="AO11" s="4"/>
      <c r="AP11" s="14"/>
      <c r="AQ11" s="2"/>
      <c r="AR11" s="16"/>
      <c r="AS11" s="16"/>
      <c r="AT11" s="16"/>
      <c r="AU11" s="51"/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 t="str">
        <f t="shared" si="4"/>
        <v/>
      </c>
      <c r="BG11" s="18" t="str">
        <f t="shared" si="5"/>
        <v/>
      </c>
      <c r="BH11" s="18"/>
    </row>
    <row r="12" spans="1:60" s="129" customFormat="1" ht="8.25" customHeight="1">
      <c r="A12" s="1"/>
      <c r="B12" s="2"/>
      <c r="C12" s="3"/>
      <c r="D12" s="138"/>
      <c r="E12" s="4"/>
      <c r="F12" s="64"/>
      <c r="G12" s="6"/>
      <c r="H12" s="110"/>
      <c r="I12" s="7"/>
      <c r="J12" s="6"/>
      <c r="K12" s="7"/>
      <c r="L12" s="126"/>
      <c r="M12" s="12"/>
      <c r="N12" s="12"/>
      <c r="O12" s="2"/>
      <c r="P12" s="56"/>
      <c r="Q12" s="9"/>
      <c r="R12" s="10"/>
      <c r="S12" s="11"/>
      <c r="T12" s="12"/>
      <c r="U12" s="12"/>
      <c r="V12" s="12"/>
      <c r="W12" s="12"/>
      <c r="X12" s="2"/>
      <c r="Y12" s="2"/>
      <c r="Z12" s="2"/>
      <c r="AA12" s="2"/>
      <c r="AB12" s="59"/>
      <c r="AC12" s="62"/>
      <c r="AD12" s="2"/>
      <c r="AE12" s="2"/>
      <c r="AF12" s="2"/>
      <c r="AG12" s="2"/>
      <c r="AH12" s="2"/>
      <c r="AI12" s="12"/>
      <c r="AJ12" s="12"/>
      <c r="AK12" s="12"/>
      <c r="AL12" s="13"/>
      <c r="AM12" s="11"/>
      <c r="AN12" s="12"/>
      <c r="AO12" s="4"/>
      <c r="AP12" s="14"/>
      <c r="AQ12" s="2"/>
      <c r="AR12" s="16"/>
      <c r="AS12" s="16"/>
      <c r="AT12" s="16"/>
      <c r="AU12" s="51"/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 t="str">
        <f t="shared" si="2"/>
        <v/>
      </c>
      <c r="BD12" s="18" t="str">
        <f t="shared" si="3"/>
        <v/>
      </c>
      <c r="BE12" s="18"/>
      <c r="BF12" s="18" t="str">
        <f t="shared" si="4"/>
        <v/>
      </c>
      <c r="BG12" s="18" t="str">
        <f t="shared" si="5"/>
        <v/>
      </c>
      <c r="BH12" s="18"/>
    </row>
    <row r="13" spans="1:60" s="129" customFormat="1" ht="8.25" customHeight="1">
      <c r="A13" s="1"/>
      <c r="B13" s="2"/>
      <c r="C13" s="3"/>
      <c r="D13" s="138"/>
      <c r="E13" s="4"/>
      <c r="F13" s="64"/>
      <c r="G13" s="6"/>
      <c r="H13" s="110"/>
      <c r="I13" s="7"/>
      <c r="J13" s="6"/>
      <c r="K13" s="7"/>
      <c r="L13" s="126"/>
      <c r="M13" s="12"/>
      <c r="N13" s="130"/>
      <c r="O13" s="2"/>
      <c r="P13" s="56"/>
      <c r="Q13" s="9"/>
      <c r="R13" s="10"/>
      <c r="S13" s="11"/>
      <c r="T13" s="12"/>
      <c r="U13" s="12"/>
      <c r="V13" s="12"/>
      <c r="W13" s="12"/>
      <c r="X13" s="2"/>
      <c r="Y13" s="2"/>
      <c r="Z13" s="2"/>
      <c r="AA13" s="2"/>
      <c r="AB13" s="59"/>
      <c r="AC13" s="62"/>
      <c r="AD13" s="2"/>
      <c r="AE13" s="2"/>
      <c r="AF13" s="2"/>
      <c r="AG13" s="2"/>
      <c r="AH13" s="2"/>
      <c r="AI13" s="12"/>
      <c r="AJ13" s="12"/>
      <c r="AK13" s="12"/>
      <c r="AL13" s="13"/>
      <c r="AM13" s="11"/>
      <c r="AN13" s="12"/>
      <c r="AO13" s="4"/>
      <c r="AP13" s="14"/>
      <c r="AQ13" s="2"/>
      <c r="AR13" s="16"/>
      <c r="AS13" s="16"/>
      <c r="AT13" s="16"/>
      <c r="AU13" s="51"/>
      <c r="AV13" s="18"/>
      <c r="AW13" s="18" t="str">
        <f t="shared" si="0"/>
        <v/>
      </c>
      <c r="AX13" s="18" t="str">
        <f t="shared" si="1"/>
        <v/>
      </c>
      <c r="AY13" s="18"/>
      <c r="AZ13" s="18"/>
      <c r="BA13" s="18"/>
      <c r="BB13" s="18"/>
      <c r="BC13" s="18" t="str">
        <f t="shared" si="2"/>
        <v/>
      </c>
      <c r="BD13" s="18" t="str">
        <f t="shared" si="3"/>
        <v/>
      </c>
      <c r="BE13" s="18"/>
      <c r="BF13" s="18" t="str">
        <f t="shared" si="4"/>
        <v/>
      </c>
      <c r="BG13" s="18" t="str">
        <f t="shared" si="5"/>
        <v/>
      </c>
      <c r="BH13" s="18"/>
    </row>
    <row r="14" spans="1:60" s="129" customFormat="1" ht="8.25" customHeight="1">
      <c r="A14" s="1"/>
      <c r="B14" s="2"/>
      <c r="C14" s="3"/>
      <c r="D14" s="138"/>
      <c r="E14" s="4"/>
      <c r="F14" s="64"/>
      <c r="G14" s="6"/>
      <c r="H14" s="110"/>
      <c r="I14" s="7"/>
      <c r="J14" s="6"/>
      <c r="K14" s="7"/>
      <c r="L14" s="126"/>
      <c r="M14" s="12"/>
      <c r="N14" s="130"/>
      <c r="O14" s="2"/>
      <c r="P14" s="56"/>
      <c r="Q14" s="9"/>
      <c r="R14" s="10"/>
      <c r="S14" s="11"/>
      <c r="T14" s="12"/>
      <c r="U14" s="12"/>
      <c r="V14" s="12"/>
      <c r="W14" s="12"/>
      <c r="X14" s="2"/>
      <c r="Y14" s="2"/>
      <c r="Z14" s="2"/>
      <c r="AA14" s="2"/>
      <c r="AB14" s="59"/>
      <c r="AC14" s="62"/>
      <c r="AD14" s="2"/>
      <c r="AE14" s="2"/>
      <c r="AF14" s="2"/>
      <c r="AG14" s="2"/>
      <c r="AH14" s="2"/>
      <c r="AI14" s="12"/>
      <c r="AJ14" s="12"/>
      <c r="AK14" s="12"/>
      <c r="AL14" s="13"/>
      <c r="AM14" s="11"/>
      <c r="AN14" s="12"/>
      <c r="AO14" s="4"/>
      <c r="AP14" s="14"/>
      <c r="AQ14" s="2"/>
      <c r="AR14" s="15"/>
      <c r="AS14" s="16"/>
      <c r="AT14" s="15"/>
      <c r="AU14" s="17"/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 t="str">
        <f t="shared" si="4"/>
        <v/>
      </c>
      <c r="BG14" s="18" t="str">
        <f t="shared" si="5"/>
        <v/>
      </c>
      <c r="BH14" s="18"/>
    </row>
    <row r="15" spans="1:60" s="129" customFormat="1" ht="8.25" customHeight="1">
      <c r="A15" s="1"/>
      <c r="B15" s="2"/>
      <c r="C15" s="3"/>
      <c r="D15" s="138"/>
      <c r="E15" s="4"/>
      <c r="F15" s="64"/>
      <c r="G15" s="6"/>
      <c r="H15" s="110"/>
      <c r="I15" s="7"/>
      <c r="J15" s="6"/>
      <c r="K15" s="7"/>
      <c r="L15" s="126"/>
      <c r="M15" s="12"/>
      <c r="N15" s="130"/>
      <c r="O15" s="2"/>
      <c r="P15" s="56"/>
      <c r="Q15" s="9"/>
      <c r="R15" s="10"/>
      <c r="S15" s="11"/>
      <c r="T15" s="12"/>
      <c r="U15" s="12"/>
      <c r="V15" s="12"/>
      <c r="W15" s="12"/>
      <c r="X15" s="2"/>
      <c r="Y15" s="2"/>
      <c r="Z15" s="2"/>
      <c r="AA15" s="2"/>
      <c r="AB15" s="59"/>
      <c r="AC15" s="62"/>
      <c r="AD15" s="2"/>
      <c r="AE15" s="2"/>
      <c r="AF15" s="2"/>
      <c r="AG15" s="2"/>
      <c r="AH15" s="2"/>
      <c r="AI15" s="12"/>
      <c r="AJ15" s="12"/>
      <c r="AK15" s="12"/>
      <c r="AL15" s="13"/>
      <c r="AM15" s="11"/>
      <c r="AN15" s="12"/>
      <c r="AO15" s="4"/>
      <c r="AP15" s="14"/>
      <c r="AQ15" s="2"/>
      <c r="AR15" s="16"/>
      <c r="AS15" s="16"/>
      <c r="AT15" s="16"/>
      <c r="AU15" s="51"/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 t="str">
        <f t="shared" si="2"/>
        <v/>
      </c>
      <c r="BD15" s="18" t="str">
        <f t="shared" si="3"/>
        <v/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s="129" customFormat="1" ht="8.25" customHeight="1">
      <c r="A16" s="1"/>
      <c r="B16" s="2"/>
      <c r="C16" s="3"/>
      <c r="D16" s="138"/>
      <c r="E16" s="4"/>
      <c r="F16" s="5"/>
      <c r="G16" s="6"/>
      <c r="H16" s="7"/>
      <c r="I16" s="7"/>
      <c r="J16" s="6"/>
      <c r="K16" s="7"/>
      <c r="L16" s="126"/>
      <c r="M16" s="130"/>
      <c r="N16" s="130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 t="str">
        <f t="shared" si="4"/>
        <v/>
      </c>
      <c r="BG16" s="18" t="str">
        <f t="shared" si="5"/>
        <v/>
      </c>
      <c r="BH16" s="18"/>
    </row>
    <row r="17" spans="1:60" s="129" customFormat="1" ht="8.25" customHeight="1">
      <c r="A17" s="1"/>
      <c r="B17" s="2"/>
      <c r="C17" s="3"/>
      <c r="D17" s="138"/>
      <c r="E17" s="4"/>
      <c r="F17" s="5"/>
      <c r="G17" s="6"/>
      <c r="H17" s="7"/>
      <c r="I17" s="7"/>
      <c r="J17" s="6"/>
      <c r="K17" s="7"/>
      <c r="L17" s="126"/>
      <c r="M17" s="130"/>
      <c r="N17" s="130"/>
      <c r="O17" s="2"/>
      <c r="P17" s="56"/>
      <c r="Q17" s="9"/>
      <c r="R17" s="10"/>
      <c r="S17" s="11"/>
      <c r="T17" s="12"/>
      <c r="U17" s="12"/>
      <c r="V17" s="12"/>
      <c r="W17" s="12"/>
      <c r="X17" s="2"/>
      <c r="Y17" s="2"/>
      <c r="Z17" s="2"/>
      <c r="AA17" s="2"/>
      <c r="AB17" s="59"/>
      <c r="AC17" s="62"/>
      <c r="AD17" s="2"/>
      <c r="AE17" s="2"/>
      <c r="AF17" s="2"/>
      <c r="AG17" s="2"/>
      <c r="AH17" s="2"/>
      <c r="AI17" s="12"/>
      <c r="AJ17" s="12"/>
      <c r="AK17" s="12"/>
      <c r="AL17" s="13"/>
      <c r="AM17" s="11"/>
      <c r="AN17" s="12"/>
      <c r="AO17" s="4"/>
      <c r="AP17" s="14"/>
      <c r="AQ17" s="2"/>
      <c r="AR17" s="16"/>
      <c r="AS17" s="16"/>
      <c r="AT17" s="16"/>
      <c r="AU17" s="51"/>
      <c r="AV17" s="18"/>
      <c r="AW17" s="18" t="str">
        <f t="shared" si="0"/>
        <v/>
      </c>
      <c r="AX17" s="18" t="str">
        <f t="shared" si="1"/>
        <v/>
      </c>
      <c r="AY17" s="18"/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s="129" customFormat="1" ht="8.25" customHeight="1">
      <c r="A18" s="1"/>
      <c r="B18" s="2"/>
      <c r="C18" s="3"/>
      <c r="D18" s="138"/>
      <c r="E18" s="4"/>
      <c r="F18" s="5"/>
      <c r="G18" s="6"/>
      <c r="H18" s="7"/>
      <c r="I18" s="7"/>
      <c r="J18" s="6"/>
      <c r="K18" s="7"/>
      <c r="L18" s="126"/>
      <c r="M18" s="130"/>
      <c r="N18" s="130"/>
      <c r="O18" s="2"/>
      <c r="P18" s="56"/>
      <c r="Q18" s="9"/>
      <c r="R18" s="10"/>
      <c r="S18" s="11"/>
      <c r="T18" s="12"/>
      <c r="U18" s="12"/>
      <c r="V18" s="12"/>
      <c r="W18" s="12"/>
      <c r="X18" s="2"/>
      <c r="Y18" s="2"/>
      <c r="Z18" s="2"/>
      <c r="AA18" s="2"/>
      <c r="AB18" s="59"/>
      <c r="AC18" s="62"/>
      <c r="AD18" s="2"/>
      <c r="AE18" s="2"/>
      <c r="AF18" s="2"/>
      <c r="AG18" s="2"/>
      <c r="AH18" s="2"/>
      <c r="AI18" s="12"/>
      <c r="AJ18" s="12"/>
      <c r="AK18" s="12"/>
      <c r="AL18" s="13"/>
      <c r="AM18" s="11"/>
      <c r="AN18" s="12"/>
      <c r="AO18" s="4"/>
      <c r="AP18" s="14"/>
      <c r="AQ18" s="2"/>
      <c r="AR18" s="15"/>
      <c r="AS18" s="16"/>
      <c r="AT18" s="15"/>
      <c r="AU18" s="17"/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 t="str">
        <f t="shared" si="4"/>
        <v/>
      </c>
      <c r="BG18" s="18" t="str">
        <f t="shared" si="5"/>
        <v/>
      </c>
      <c r="BH18" s="18"/>
    </row>
    <row r="19" spans="1:60" s="129" customFormat="1" ht="8.25" customHeight="1">
      <c r="A19" s="1"/>
      <c r="B19" s="2"/>
      <c r="C19" s="3"/>
      <c r="D19" s="138"/>
      <c r="E19" s="4"/>
      <c r="F19" s="5"/>
      <c r="G19" s="6"/>
      <c r="H19" s="7"/>
      <c r="I19" s="7"/>
      <c r="J19" s="6"/>
      <c r="K19" s="7"/>
      <c r="L19" s="126"/>
      <c r="M19" s="130"/>
      <c r="N19" s="130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5"/>
      <c r="AS19" s="16"/>
      <c r="AT19" s="15"/>
      <c r="AU19" s="17"/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s="129" customFormat="1" ht="8.25" customHeight="1">
      <c r="A20" s="1"/>
      <c r="B20" s="2"/>
      <c r="C20" s="3"/>
      <c r="D20" s="138"/>
      <c r="E20" s="4"/>
      <c r="F20" s="5"/>
      <c r="G20" s="6"/>
      <c r="H20" s="7"/>
      <c r="I20" s="7"/>
      <c r="J20" s="6"/>
      <c r="K20" s="7"/>
      <c r="L20" s="126"/>
      <c r="M20" s="130"/>
      <c r="N20" s="130"/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F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 t="str">
        <f t="shared" si="4"/>
        <v/>
      </c>
      <c r="BG20" s="18" t="str">
        <f t="shared" si="5"/>
        <v/>
      </c>
      <c r="BH20" s="18"/>
    </row>
    <row r="21" spans="1:60" s="129" customFormat="1" ht="8.25" customHeight="1">
      <c r="A21" s="1"/>
      <c r="B21" s="2"/>
      <c r="C21" s="3"/>
      <c r="D21" s="138"/>
      <c r="E21" s="4"/>
      <c r="F21" s="5"/>
      <c r="G21" s="6"/>
      <c r="H21" s="7"/>
      <c r="I21" s="7"/>
      <c r="J21" s="6"/>
      <c r="K21" s="7"/>
      <c r="L21" s="126"/>
      <c r="M21" s="130"/>
      <c r="N21" s="130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5"/>
      <c r="AS21" s="16"/>
      <c r="AT21" s="15"/>
      <c r="AU21" s="17"/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s="129" customFormat="1" ht="8.25" customHeight="1">
      <c r="A22" s="1"/>
      <c r="B22" s="2"/>
      <c r="C22" s="3"/>
      <c r="D22" s="138"/>
      <c r="E22" s="4"/>
      <c r="F22" s="5"/>
      <c r="G22" s="6"/>
      <c r="H22" s="7"/>
      <c r="I22" s="7"/>
      <c r="J22" s="6"/>
      <c r="K22" s="7"/>
      <c r="L22" s="126"/>
      <c r="M22" s="130"/>
      <c r="N22" s="130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6"/>
      <c r="AS22" s="16"/>
      <c r="AT22" s="16"/>
      <c r="AU22" s="51"/>
      <c r="AV22" s="18"/>
      <c r="AW22" s="18" t="str">
        <f t="shared" si="0"/>
        <v/>
      </c>
      <c r="AX22" s="18" t="str">
        <f t="shared" si="1"/>
        <v/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s="129" customFormat="1" ht="8.25" customHeight="1">
      <c r="A23" s="1"/>
      <c r="B23" s="2"/>
      <c r="C23" s="3"/>
      <c r="D23" s="138"/>
      <c r="E23" s="4"/>
      <c r="F23" s="5"/>
      <c r="G23" s="6"/>
      <c r="H23" s="7"/>
      <c r="I23" s="7"/>
      <c r="J23" s="6"/>
      <c r="K23" s="7"/>
      <c r="L23" s="126"/>
      <c r="M23" s="130"/>
      <c r="N23" s="130"/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F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5"/>
      <c r="AS23" s="16"/>
      <c r="AT23" s="15"/>
      <c r="AU23" s="17"/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 t="str">
        <f t="shared" si="4"/>
        <v/>
      </c>
      <c r="BG23" s="18" t="str">
        <f t="shared" si="5"/>
        <v/>
      </c>
      <c r="BH23" s="18"/>
    </row>
    <row r="24" spans="1:60" s="129" customFormat="1" ht="8.25" customHeight="1">
      <c r="A24" s="1"/>
      <c r="B24" s="2"/>
      <c r="C24" s="3"/>
      <c r="D24" s="138"/>
      <c r="E24" s="4"/>
      <c r="F24" s="5"/>
      <c r="G24" s="6"/>
      <c r="H24" s="7"/>
      <c r="I24" s="7"/>
      <c r="J24" s="6"/>
      <c r="K24" s="7"/>
      <c r="L24" s="126"/>
      <c r="M24" s="130"/>
      <c r="N24" s="130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s="129" customFormat="1" ht="8.25" customHeight="1">
      <c r="A25" s="1"/>
      <c r="B25" s="2"/>
      <c r="C25" s="3"/>
      <c r="D25" s="138"/>
      <c r="E25" s="4"/>
      <c r="F25" s="5"/>
      <c r="G25" s="6"/>
      <c r="H25" s="7"/>
      <c r="I25" s="7"/>
      <c r="J25" s="6"/>
      <c r="K25" s="7"/>
      <c r="L25" s="126"/>
      <c r="M25" s="130"/>
      <c r="N25" s="130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6"/>
      <c r="AS25" s="16"/>
      <c r="AT25" s="16"/>
      <c r="AU25" s="51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s="129" customFormat="1" ht="8.25" customHeight="1">
      <c r="A26" s="1"/>
      <c r="B26" s="2"/>
      <c r="C26" s="3"/>
      <c r="D26" s="138"/>
      <c r="E26" s="4"/>
      <c r="F26" s="5"/>
      <c r="G26" s="6"/>
      <c r="H26" s="7"/>
      <c r="I26" s="7"/>
      <c r="J26" s="6"/>
      <c r="K26" s="7"/>
      <c r="L26" s="126"/>
      <c r="M26" s="130"/>
      <c r="N26" s="130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s="129" customFormat="1" ht="8.25" customHeight="1">
      <c r="A27" s="1"/>
      <c r="B27" s="2"/>
      <c r="C27" s="3"/>
      <c r="D27" s="138"/>
      <c r="E27" s="4"/>
      <c r="F27" s="5"/>
      <c r="G27" s="6"/>
      <c r="H27" s="7"/>
      <c r="I27" s="7"/>
      <c r="J27" s="6"/>
      <c r="K27" s="7"/>
      <c r="L27" s="126"/>
      <c r="M27" s="130"/>
      <c r="N27" s="130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5"/>
      <c r="AS27" s="16"/>
      <c r="AT27" s="15"/>
      <c r="AU27" s="17"/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 t="str">
        <f t="shared" si="4"/>
        <v/>
      </c>
      <c r="BG27" s="18" t="str">
        <f t="shared" si="5"/>
        <v/>
      </c>
      <c r="BH27" s="18"/>
    </row>
    <row r="28" spans="1:60" s="129" customFormat="1" ht="8.25" customHeight="1">
      <c r="A28" s="1"/>
      <c r="B28" s="2"/>
      <c r="C28" s="3"/>
      <c r="D28" s="138"/>
      <c r="E28" s="4"/>
      <c r="F28" s="5"/>
      <c r="G28" s="6"/>
      <c r="H28" s="7"/>
      <c r="I28" s="7"/>
      <c r="J28" s="6"/>
      <c r="K28" s="7"/>
      <c r="L28" s="126"/>
      <c r="M28" s="130"/>
      <c r="N28" s="130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5"/>
      <c r="AS28" s="16"/>
      <c r="AT28" s="15"/>
      <c r="AU28" s="17"/>
      <c r="AV28" s="18"/>
      <c r="AW28" s="18" t="str">
        <f t="shared" si="0"/>
        <v/>
      </c>
      <c r="AX28" s="18" t="str">
        <f t="shared" si="1"/>
        <v/>
      </c>
      <c r="AY28" s="18"/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/>
      <c r="BF28" s="18" t="str">
        <f t="shared" si="4"/>
        <v/>
      </c>
      <c r="BG28" s="18" t="str">
        <f t="shared" si="5"/>
        <v/>
      </c>
      <c r="BH28" s="18"/>
    </row>
    <row r="29" spans="1:60" s="129" customFormat="1" ht="8.25" customHeight="1" thickBot="1">
      <c r="A29" s="31"/>
      <c r="B29" s="32"/>
      <c r="C29" s="33"/>
      <c r="D29" s="34"/>
      <c r="E29" s="35"/>
      <c r="F29" s="36"/>
      <c r="G29" s="32"/>
      <c r="H29" s="37"/>
      <c r="I29" s="37"/>
      <c r="J29" s="32"/>
      <c r="K29" s="37"/>
      <c r="L29" s="141"/>
      <c r="M29" s="142"/>
      <c r="N29" s="142"/>
      <c r="O29" s="32"/>
      <c r="P29" s="57"/>
      <c r="Q29" s="41"/>
      <c r="R29" s="42"/>
      <c r="S29" s="43"/>
      <c r="T29" s="39"/>
      <c r="U29" s="39"/>
      <c r="V29" s="39"/>
      <c r="W29" s="39"/>
      <c r="X29" s="39"/>
      <c r="Y29" s="39"/>
      <c r="Z29" s="39"/>
      <c r="AA29" s="39"/>
      <c r="AB29" s="60"/>
      <c r="AC29" s="63"/>
      <c r="AD29" s="39"/>
      <c r="AE29" s="39"/>
      <c r="AF29" s="39"/>
      <c r="AG29" s="39"/>
      <c r="AH29" s="39"/>
      <c r="AI29" s="39"/>
      <c r="AJ29" s="39"/>
      <c r="AK29" s="39"/>
      <c r="AL29" s="40"/>
      <c r="AM29" s="43"/>
      <c r="AN29" s="39"/>
      <c r="AO29" s="35"/>
      <c r="AP29" s="43"/>
      <c r="AQ29" s="37"/>
      <c r="AR29" s="37"/>
      <c r="AS29" s="32"/>
      <c r="AT29" s="37"/>
      <c r="AU29" s="44"/>
      <c r="AV29" s="18"/>
      <c r="AW29" s="18" t="str">
        <f t="shared" si="0"/>
        <v/>
      </c>
      <c r="AX29" s="18" t="str">
        <f t="shared" si="1"/>
        <v/>
      </c>
      <c r="AY29" s="18" t="str">
        <f>IF(AND($AP29="TC",NOT(ISBLANK($AT29))),$AT29,"")</f>
        <v/>
      </c>
      <c r="AZ29" s="18"/>
      <c r="BA29" s="18"/>
      <c r="BB29" s="18"/>
      <c r="BC29" s="18" t="str">
        <f t="shared" si="2"/>
        <v/>
      </c>
      <c r="BD29" s="18" t="str">
        <f t="shared" si="3"/>
        <v/>
      </c>
      <c r="BE29" s="18" t="str">
        <f>IF(AND($AP29="HTS",NOT(ISBLANK($AT29))),$AT29,"")</f>
        <v/>
      </c>
      <c r="BF29" s="18" t="str">
        <f t="shared" si="4"/>
        <v/>
      </c>
      <c r="BG29" s="18" t="str">
        <f t="shared" si="5"/>
        <v/>
      </c>
      <c r="BH29" s="18" t="str">
        <f>IF(AND($AP29="HAST",NOT(ISBLANK($AT29))),$AT29,"")</f>
        <v/>
      </c>
    </row>
    <row r="30" spans="1:60" ht="9" customHeight="1" thickBot="1">
      <c r="A30" s="74"/>
      <c r="B30" s="74"/>
      <c r="C30" s="18"/>
      <c r="D30" s="74"/>
      <c r="E30" s="74"/>
      <c r="F30" s="18"/>
      <c r="G30" s="18"/>
      <c r="H30" s="18"/>
      <c r="I30" s="74"/>
      <c r="J30" s="75"/>
      <c r="K30" s="74"/>
      <c r="L30" s="337"/>
      <c r="M30" s="332"/>
      <c r="N30" s="332"/>
      <c r="O30" s="74"/>
      <c r="P30" s="74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</row>
    <row r="31" spans="1:60" ht="8.25" customHeight="1">
      <c r="A31" s="74"/>
      <c r="B31" s="74"/>
      <c r="C31" s="74"/>
      <c r="D31" s="74"/>
      <c r="E31" s="74"/>
      <c r="F31" s="18"/>
      <c r="G31" s="18"/>
      <c r="H31" s="18"/>
      <c r="I31" s="74"/>
      <c r="J31" s="75"/>
      <c r="K31" s="74"/>
      <c r="L31" s="337"/>
      <c r="M31" s="332"/>
      <c r="N31" s="332"/>
      <c r="O31" s="74"/>
      <c r="P31" s="74"/>
      <c r="Q31" s="18"/>
      <c r="R31" s="111" t="s">
        <v>59</v>
      </c>
      <c r="S31" s="86" t="e">
        <f>AVERAGE(S$5:S29)</f>
        <v>#DIV/0!</v>
      </c>
      <c r="T31" s="86" t="e">
        <f>AVERAGE(T$5:T29)</f>
        <v>#DIV/0!</v>
      </c>
      <c r="U31" s="86" t="e">
        <f>AVERAGE(U$5:U29)</f>
        <v>#DIV/0!</v>
      </c>
      <c r="V31" s="86" t="e">
        <f>AVERAGE(V$5:V29)</f>
        <v>#DIV/0!</v>
      </c>
      <c r="W31" s="86" t="e">
        <f>AVERAGE(W$5:W29)</f>
        <v>#DIV/0!</v>
      </c>
      <c r="X31" s="86" t="e">
        <f>AVERAGE(X$5:X29)</f>
        <v>#DIV/0!</v>
      </c>
      <c r="Y31" s="86" t="e">
        <f>AVERAGE(Y$5:Y29)</f>
        <v>#DIV/0!</v>
      </c>
      <c r="Z31" s="86" t="e">
        <f>AVERAGE(Z$5:Z29)</f>
        <v>#DIV/0!</v>
      </c>
      <c r="AA31" s="86" t="e">
        <f>AVERAGE(AA$5:AA29)</f>
        <v>#DIV/0!</v>
      </c>
      <c r="AB31" s="86" t="e">
        <f>AVERAGE(AB$5:AB29)</f>
        <v>#DIV/0!</v>
      </c>
      <c r="AC31" s="86" t="e">
        <f>AVERAGE(AC$5:AC29)</f>
        <v>#DIV/0!</v>
      </c>
      <c r="AD31" s="86" t="e">
        <f>AVERAGE(AD$5:AD29)</f>
        <v>#DIV/0!</v>
      </c>
      <c r="AE31" s="86" t="e">
        <f>AVERAGE(AE$5:AE29)</f>
        <v>#DIV/0!</v>
      </c>
      <c r="AF31" s="86" t="e">
        <f>AVERAGE(AF$5:AF29)</f>
        <v>#DIV/0!</v>
      </c>
      <c r="AG31" s="86" t="e">
        <f>AVERAGE(AG$5:AG29)</f>
        <v>#DIV/0!</v>
      </c>
      <c r="AH31" s="86" t="e">
        <f>AVERAGE(AH$5:AH29)</f>
        <v>#DIV/0!</v>
      </c>
      <c r="AI31" s="86" t="e">
        <f>AVERAGE(AI$5:AI29)</f>
        <v>#DIV/0!</v>
      </c>
      <c r="AJ31" s="87" t="e">
        <f>AVERAGE(AJ$5:AJ29)</f>
        <v>#DIV/0!</v>
      </c>
      <c r="AK31" s="83" t="e">
        <f>AVERAGE(AK$5:AK29)</f>
        <v>#DIV/0!</v>
      </c>
      <c r="AL31" s="46" t="e">
        <f>AVERAGE(AL$5:AL29)</f>
        <v>#DIV/0!</v>
      </c>
      <c r="AM31" s="72"/>
      <c r="AN31" s="18"/>
      <c r="AO31" s="18"/>
      <c r="AP31" s="47" t="s">
        <v>60</v>
      </c>
      <c r="AQ31" s="45" t="s">
        <v>61</v>
      </c>
      <c r="AR31" s="45" t="s">
        <v>62</v>
      </c>
      <c r="AS31" s="46" t="s">
        <v>41</v>
      </c>
      <c r="AT31" s="18"/>
      <c r="AU31" s="18"/>
      <c r="AV31" s="18"/>
      <c r="AW31" s="76">
        <f t="shared" ref="AW31:BH31" si="6">SUM(AW5:AW29)</f>
        <v>0</v>
      </c>
      <c r="AX31" s="76">
        <f t="shared" si="6"/>
        <v>0</v>
      </c>
      <c r="AY31" s="76">
        <f t="shared" si="6"/>
        <v>0</v>
      </c>
      <c r="AZ31" s="76">
        <f t="shared" si="6"/>
        <v>0</v>
      </c>
      <c r="BA31" s="76">
        <f t="shared" si="6"/>
        <v>0</v>
      </c>
      <c r="BB31" s="76">
        <f t="shared" si="6"/>
        <v>0</v>
      </c>
      <c r="BC31" s="76">
        <f t="shared" si="6"/>
        <v>0</v>
      </c>
      <c r="BD31" s="76">
        <f t="shared" si="6"/>
        <v>0</v>
      </c>
      <c r="BE31" s="76">
        <f t="shared" si="6"/>
        <v>0</v>
      </c>
      <c r="BF31" s="76">
        <f t="shared" si="6"/>
        <v>0</v>
      </c>
      <c r="BG31" s="76">
        <f t="shared" si="6"/>
        <v>0</v>
      </c>
      <c r="BH31" s="76">
        <f t="shared" si="6"/>
        <v>0</v>
      </c>
    </row>
    <row r="32" spans="1:60" ht="8.25" customHeight="1">
      <c r="A32" s="74"/>
      <c r="B32" s="74"/>
      <c r="C32" s="74"/>
      <c r="D32" s="74"/>
      <c r="E32" s="74"/>
      <c r="F32" s="18"/>
      <c r="G32" s="18"/>
      <c r="H32" s="18"/>
      <c r="I32" s="74"/>
      <c r="J32" s="75"/>
      <c r="K32" s="74"/>
      <c r="L32" s="337"/>
      <c r="M32" s="332"/>
      <c r="N32" s="332"/>
      <c r="O32" s="74"/>
      <c r="P32" s="74"/>
      <c r="Q32" s="18"/>
      <c r="R32" s="112" t="s">
        <v>63</v>
      </c>
      <c r="S32" s="2">
        <f>MIN(S$5:S29)</f>
        <v>0</v>
      </c>
      <c r="T32" s="2">
        <f>MIN(T$5:T29)</f>
        <v>0</v>
      </c>
      <c r="U32" s="2">
        <f>MIN(U$5:U29)</f>
        <v>0</v>
      </c>
      <c r="V32" s="2">
        <f>MIN(V$5:V29)</f>
        <v>0</v>
      </c>
      <c r="W32" s="2">
        <f>MIN(W$5:W29)</f>
        <v>0</v>
      </c>
      <c r="X32" s="2">
        <f>MIN(X$5:X29)</f>
        <v>0</v>
      </c>
      <c r="Y32" s="2">
        <f>MIN(Y$5:Y29)</f>
        <v>0</v>
      </c>
      <c r="Z32" s="2">
        <f>MIN(Z$5:Z29)</f>
        <v>0</v>
      </c>
      <c r="AA32" s="2">
        <f>MIN(AA$5:AA29)</f>
        <v>0</v>
      </c>
      <c r="AB32" s="2">
        <f>MIN(AB$5:AB29)</f>
        <v>0</v>
      </c>
      <c r="AC32" s="2">
        <f>MIN(AC$5:AC29)</f>
        <v>0</v>
      </c>
      <c r="AD32" s="2">
        <f>MIN(AD$5:AD29)</f>
        <v>0</v>
      </c>
      <c r="AE32" s="2">
        <f>MIN(AE$5:AE29)</f>
        <v>0</v>
      </c>
      <c r="AF32" s="2">
        <f>MIN(AF$5:AF29)</f>
        <v>0</v>
      </c>
      <c r="AG32" s="2">
        <f>MIN(AG$5:AG29)</f>
        <v>0</v>
      </c>
      <c r="AH32" s="2">
        <f>MIN(AH$5:AH29)</f>
        <v>0</v>
      </c>
      <c r="AI32" s="2">
        <f>MIN(AI$5:AI29)</f>
        <v>0</v>
      </c>
      <c r="AJ32" s="88">
        <f>MIN(AJ$5:AJ29)</f>
        <v>0</v>
      </c>
      <c r="AK32" s="84">
        <f>MIN(AK$5:AK29)</f>
        <v>0</v>
      </c>
      <c r="AL32" s="29">
        <f>MIN(AL$5:AL29)</f>
        <v>0</v>
      </c>
      <c r="AM32" s="72"/>
      <c r="AN32" s="18"/>
      <c r="AO32" s="18"/>
      <c r="AP32" s="48" t="s">
        <v>64</v>
      </c>
      <c r="AQ32" s="2" t="s">
        <v>65</v>
      </c>
      <c r="AR32" s="2">
        <f>SUM(AN5:AN29)</f>
        <v>0</v>
      </c>
      <c r="AS32" s="29">
        <f>SUM(AM5:AM29)</f>
        <v>0</v>
      </c>
      <c r="AT32" s="18"/>
      <c r="AU32" s="18"/>
      <c r="AV32" s="18"/>
      <c r="AW32" s="77" t="s">
        <v>45</v>
      </c>
      <c r="AX32" s="77" t="s">
        <v>46</v>
      </c>
      <c r="AY32" s="77" t="s">
        <v>47</v>
      </c>
      <c r="AZ32" s="77" t="s">
        <v>48</v>
      </c>
      <c r="BA32" s="77" t="s">
        <v>49</v>
      </c>
      <c r="BB32" s="77" t="s">
        <v>50</v>
      </c>
      <c r="BC32" s="77" t="s">
        <v>51</v>
      </c>
      <c r="BD32" s="77" t="s">
        <v>52</v>
      </c>
      <c r="BE32" s="77" t="s">
        <v>53</v>
      </c>
      <c r="BF32" s="77" t="s">
        <v>54</v>
      </c>
      <c r="BG32" s="77" t="s">
        <v>55</v>
      </c>
      <c r="BH32" s="77" t="s">
        <v>56</v>
      </c>
    </row>
    <row r="33" spans="1:60" ht="8.25" customHeight="1">
      <c r="A33" s="74"/>
      <c r="B33" s="74"/>
      <c r="C33" s="74"/>
      <c r="D33" s="74"/>
      <c r="E33" s="74"/>
      <c r="F33" s="18"/>
      <c r="G33" s="18"/>
      <c r="H33" s="18"/>
      <c r="I33" s="74"/>
      <c r="J33" s="75"/>
      <c r="K33" s="74"/>
      <c r="L33" s="337"/>
      <c r="M33" s="332"/>
      <c r="N33" s="332"/>
      <c r="O33" s="74"/>
      <c r="P33" s="74"/>
      <c r="Q33" s="18"/>
      <c r="R33" s="112" t="s">
        <v>146</v>
      </c>
      <c r="S33" s="2">
        <f>MAX(S$5:S29)</f>
        <v>0</v>
      </c>
      <c r="T33" s="2">
        <f>MAX(T$5:T29)</f>
        <v>0</v>
      </c>
      <c r="U33" s="2">
        <f>MAX(U$5:U29)</f>
        <v>0</v>
      </c>
      <c r="V33" s="2">
        <f>MAX(V$5:V29)</f>
        <v>0</v>
      </c>
      <c r="W33" s="2">
        <f>MAX(W$5:W29)</f>
        <v>0</v>
      </c>
      <c r="X33" s="2">
        <f>MAX(X$5:X29)</f>
        <v>0</v>
      </c>
      <c r="Y33" s="2">
        <f>MAX(Y$5:Y29)</f>
        <v>0</v>
      </c>
      <c r="Z33" s="2">
        <f>MAX(Z$5:Z29)</f>
        <v>0</v>
      </c>
      <c r="AA33" s="2">
        <f>MAX(AA$5:AA29)</f>
        <v>0</v>
      </c>
      <c r="AB33" s="2">
        <f>MAX(AB$5:AB29)</f>
        <v>0</v>
      </c>
      <c r="AC33" s="2">
        <f>MAX(AC$5:AC29)</f>
        <v>0</v>
      </c>
      <c r="AD33" s="2">
        <f>MAX(AD$5:AD29)</f>
        <v>0</v>
      </c>
      <c r="AE33" s="2">
        <f>MAX(AE$5:AE29)</f>
        <v>0</v>
      </c>
      <c r="AF33" s="2">
        <f>MAX(AF$5:AF29)</f>
        <v>0</v>
      </c>
      <c r="AG33" s="2">
        <f>MAX(AG$5:AG29)</f>
        <v>0</v>
      </c>
      <c r="AH33" s="2">
        <f>MAX(AH$5:AH29)</f>
        <v>0</v>
      </c>
      <c r="AI33" s="2">
        <f>MAX(AI$5:AI29)</f>
        <v>0</v>
      </c>
      <c r="AJ33" s="88">
        <f>MAX(AJ$5:AJ29)</f>
        <v>0</v>
      </c>
      <c r="AK33" s="84">
        <f>MAX(AK$5:AK29)</f>
        <v>0</v>
      </c>
      <c r="AL33" s="29">
        <f>MAX(AL$5:AL29)</f>
        <v>0</v>
      </c>
      <c r="AM33" s="72"/>
      <c r="AN33" s="18"/>
      <c r="AO33" s="18"/>
      <c r="AP33" s="48" t="s">
        <v>46</v>
      </c>
      <c r="AQ33" s="2">
        <f>AW31</f>
        <v>0</v>
      </c>
      <c r="AR33" s="2">
        <f>AX31</f>
        <v>0</v>
      </c>
      <c r="AS33" s="29">
        <f>AY31</f>
        <v>0</v>
      </c>
      <c r="AT33" s="18"/>
      <c r="AU33" s="18"/>
      <c r="AV33" s="18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</row>
    <row r="34" spans="1:60" ht="8.25" customHeight="1">
      <c r="A34" s="74"/>
      <c r="B34" s="74"/>
      <c r="C34" s="74"/>
      <c r="D34" s="74"/>
      <c r="E34" s="74"/>
      <c r="F34" s="18"/>
      <c r="G34" s="18"/>
      <c r="H34" s="18"/>
      <c r="I34" s="74"/>
      <c r="J34" s="75"/>
      <c r="K34" s="74"/>
      <c r="L34" s="75"/>
      <c r="M34" s="18"/>
      <c r="N34" s="18"/>
      <c r="O34" s="74"/>
      <c r="P34" s="74"/>
      <c r="Q34" s="18"/>
      <c r="R34" s="112" t="s">
        <v>66</v>
      </c>
      <c r="S34" s="2" t="e">
        <f>STDEV(S$5:S29)</f>
        <v>#DIV/0!</v>
      </c>
      <c r="T34" s="2" t="e">
        <f>STDEV(T$5:T29)</f>
        <v>#DIV/0!</v>
      </c>
      <c r="U34" s="2" t="e">
        <f>STDEV(U$5:U29)</f>
        <v>#DIV/0!</v>
      </c>
      <c r="V34" s="2" t="e">
        <f>STDEV(V$5:V29)</f>
        <v>#DIV/0!</v>
      </c>
      <c r="W34" s="2" t="e">
        <f>STDEV(W$5:W29)</f>
        <v>#DIV/0!</v>
      </c>
      <c r="X34" s="2" t="e">
        <f>STDEV(X$5:X29)</f>
        <v>#DIV/0!</v>
      </c>
      <c r="Y34" s="2" t="e">
        <f>STDEV(Y$5:Y29)</f>
        <v>#DIV/0!</v>
      </c>
      <c r="Z34" s="2" t="e">
        <f>STDEV(Z$5:Z29)</f>
        <v>#DIV/0!</v>
      </c>
      <c r="AA34" s="2" t="e">
        <f>STDEV(AA$5:AA29)</f>
        <v>#DIV/0!</v>
      </c>
      <c r="AB34" s="2" t="e">
        <f>STDEV(AB$5:AB29)</f>
        <v>#DIV/0!</v>
      </c>
      <c r="AC34" s="2" t="e">
        <f>STDEV(AC$5:AC29)</f>
        <v>#DIV/0!</v>
      </c>
      <c r="AD34" s="2" t="e">
        <f>STDEV(AD$5:AD29)</f>
        <v>#DIV/0!</v>
      </c>
      <c r="AE34" s="2" t="e">
        <f>STDEV(AE$5:AE29)</f>
        <v>#DIV/0!</v>
      </c>
      <c r="AF34" s="2" t="e">
        <f>STDEV(AF$5:AF29)</f>
        <v>#DIV/0!</v>
      </c>
      <c r="AG34" s="2" t="e">
        <f>STDEV(AG$5:AG29)</f>
        <v>#DIV/0!</v>
      </c>
      <c r="AH34" s="2" t="e">
        <f>STDEV(AH$5:AH29)</f>
        <v>#DIV/0!</v>
      </c>
      <c r="AI34" s="2" t="e">
        <f>STDEV(AI$5:AI29)</f>
        <v>#DIV/0!</v>
      </c>
      <c r="AJ34" s="88" t="e">
        <f>STDEV(AJ$5:AJ29)</f>
        <v>#DIV/0!</v>
      </c>
      <c r="AK34" s="84" t="e">
        <f>STDEV(AK$5:AK29)</f>
        <v>#DIV/0!</v>
      </c>
      <c r="AL34" s="29" t="e">
        <f>STDEV(AL$5:AL29)</f>
        <v>#DIV/0!</v>
      </c>
      <c r="AM34" s="72"/>
      <c r="AN34" s="18"/>
      <c r="AO34" s="18"/>
      <c r="AP34" s="48" t="s">
        <v>49</v>
      </c>
      <c r="AQ34" s="2">
        <f>AZ31</f>
        <v>0</v>
      </c>
      <c r="AR34" s="2">
        <f>BA31</f>
        <v>0</v>
      </c>
      <c r="AS34" s="29">
        <f>BB31</f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</row>
    <row r="35" spans="1:60" ht="9" customHeight="1" thickBot="1">
      <c r="A35" s="74"/>
      <c r="B35" s="74"/>
      <c r="C35" s="74"/>
      <c r="D35" s="74"/>
      <c r="E35" s="74"/>
      <c r="F35" s="18"/>
      <c r="G35" s="18"/>
      <c r="H35" s="18"/>
      <c r="I35" s="74"/>
      <c r="J35" s="75"/>
      <c r="K35" s="74"/>
      <c r="L35" s="75"/>
      <c r="M35" s="18"/>
      <c r="N35" s="18"/>
      <c r="O35" s="74"/>
      <c r="P35" s="74"/>
      <c r="Q35" s="18"/>
      <c r="R35" s="113" t="s">
        <v>67</v>
      </c>
      <c r="S35" s="89" t="e">
        <f t="shared" ref="S35:AJ35" si="7">IF(S31+(3*S34)&gt;100,100,S31+(3*S34))</f>
        <v>#DIV/0!</v>
      </c>
      <c r="T35" s="89" t="e">
        <f t="shared" si="7"/>
        <v>#DIV/0!</v>
      </c>
      <c r="U35" s="89" t="e">
        <f t="shared" si="7"/>
        <v>#DIV/0!</v>
      </c>
      <c r="V35" s="89" t="e">
        <f t="shared" si="7"/>
        <v>#DIV/0!</v>
      </c>
      <c r="W35" s="89" t="e">
        <f t="shared" si="7"/>
        <v>#DIV/0!</v>
      </c>
      <c r="X35" s="89" t="e">
        <f t="shared" si="7"/>
        <v>#DIV/0!</v>
      </c>
      <c r="Y35" s="89" t="e">
        <f t="shared" si="7"/>
        <v>#DIV/0!</v>
      </c>
      <c r="Z35" s="89" t="e">
        <f t="shared" si="7"/>
        <v>#DIV/0!</v>
      </c>
      <c r="AA35" s="89" t="e">
        <f t="shared" si="7"/>
        <v>#DIV/0!</v>
      </c>
      <c r="AB35" s="89" t="e">
        <f t="shared" si="7"/>
        <v>#DIV/0!</v>
      </c>
      <c r="AC35" s="89" t="e">
        <f t="shared" si="7"/>
        <v>#DIV/0!</v>
      </c>
      <c r="AD35" s="89" t="e">
        <f t="shared" si="7"/>
        <v>#DIV/0!</v>
      </c>
      <c r="AE35" s="89" t="e">
        <f t="shared" si="7"/>
        <v>#DIV/0!</v>
      </c>
      <c r="AF35" s="89" t="e">
        <f t="shared" si="7"/>
        <v>#DIV/0!</v>
      </c>
      <c r="AG35" s="89" t="e">
        <f t="shared" si="7"/>
        <v>#DIV/0!</v>
      </c>
      <c r="AH35" s="89" t="e">
        <f t="shared" si="7"/>
        <v>#DIV/0!</v>
      </c>
      <c r="AI35" s="89" t="e">
        <f t="shared" si="7"/>
        <v>#DIV/0!</v>
      </c>
      <c r="AJ35" s="90" t="e">
        <f t="shared" si="7"/>
        <v>#DIV/0!</v>
      </c>
      <c r="AK35" s="85" t="e">
        <f>IF(AK31+(3*AK34)&gt;100,100,AK31+(3*AK34))</f>
        <v>#DIV/0!</v>
      </c>
      <c r="AL35" s="49" t="e">
        <f>IF(AL31+(3*AL34)&gt;100,100,AL31+(3*AL34))</f>
        <v>#DIV/0!</v>
      </c>
      <c r="AM35" s="72"/>
      <c r="AN35" s="18"/>
      <c r="AO35" s="18"/>
      <c r="AP35" s="48" t="s">
        <v>52</v>
      </c>
      <c r="AQ35" s="2">
        <f>BC31</f>
        <v>0</v>
      </c>
      <c r="AR35" s="2">
        <f>BD31</f>
        <v>0</v>
      </c>
      <c r="AS35" s="29">
        <f>BE31</f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</row>
    <row r="36" spans="1:60" ht="9" customHeight="1" thickBot="1">
      <c r="A36" s="74"/>
      <c r="B36" s="74"/>
      <c r="C36" s="74"/>
      <c r="D36" s="74"/>
      <c r="E36" s="74"/>
      <c r="F36" s="18"/>
      <c r="G36" s="18"/>
      <c r="H36" s="18"/>
      <c r="I36" s="74"/>
      <c r="J36" s="75"/>
      <c r="K36" s="74"/>
      <c r="L36" s="75"/>
      <c r="M36" s="18"/>
      <c r="N36" s="18"/>
      <c r="O36" s="74"/>
      <c r="P36" s="74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72"/>
      <c r="AI36" s="18"/>
      <c r="AJ36" s="18"/>
      <c r="AK36" s="18"/>
      <c r="AL36" s="18"/>
      <c r="AM36" s="18"/>
      <c r="AN36" s="18"/>
      <c r="AO36" s="18"/>
      <c r="AP36" s="50" t="s">
        <v>58</v>
      </c>
      <c r="AQ36" s="32">
        <f>BF31</f>
        <v>0</v>
      </c>
      <c r="AR36" s="32">
        <f>BG31</f>
        <v>0</v>
      </c>
      <c r="AS36" s="49">
        <f>BH31</f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 t="str">
        <f>IF(AND($AP36="HAST",NOT(ISBLANK($AT36))),$AU36*$AR36,"")</f>
        <v/>
      </c>
      <c r="BG36" s="18" t="str">
        <f>IF(AND($AP36="HAST",NOT(ISBLANK($AT36))),$AU36,"")</f>
        <v/>
      </c>
      <c r="BH36" s="18" t="str">
        <f>IF(AND($AP36="HAST",NOT(ISBLANK($AT36))),$AT36,"")</f>
        <v/>
      </c>
    </row>
    <row r="37" spans="1:60" ht="8.25" customHeight="1">
      <c r="R37" s="18" t="s">
        <v>69</v>
      </c>
      <c r="S37" s="73"/>
      <c r="T37" s="73"/>
    </row>
    <row r="38" spans="1:60" ht="8.25" customHeight="1">
      <c r="R38" s="18"/>
      <c r="S38" s="73" t="s">
        <v>70</v>
      </c>
      <c r="T38" s="73"/>
    </row>
    <row r="39" spans="1:60" ht="8.25" customHeight="1">
      <c r="R39" s="18"/>
      <c r="S39" s="73" t="s">
        <v>71</v>
      </c>
      <c r="T39" s="73"/>
    </row>
    <row r="40" spans="1:60" ht="8.25" customHeight="1">
      <c r="R40" s="18"/>
      <c r="S40" s="73" t="s">
        <v>72</v>
      </c>
      <c r="T40" s="73"/>
    </row>
    <row r="41" spans="1:60" ht="8.25" customHeight="1">
      <c r="R41" s="18"/>
      <c r="S41" s="73" t="s">
        <v>73</v>
      </c>
      <c r="T41" s="73"/>
    </row>
    <row r="42" spans="1:60" ht="8.25" customHeight="1">
      <c r="R42" s="18"/>
      <c r="S42" s="73" t="s">
        <v>74</v>
      </c>
      <c r="T42" s="73"/>
    </row>
  </sheetData>
  <mergeCells count="38"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  <mergeCell ref="L33:N33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P3:AP4"/>
    <mergeCell ref="AU3:AU4"/>
    <mergeCell ref="L30:N30"/>
    <mergeCell ref="L31:N31"/>
    <mergeCell ref="L32:N32"/>
    <mergeCell ref="AN3:AN4"/>
    <mergeCell ref="AO3:AO4"/>
  </mergeCells>
  <conditionalFormatting sqref="AT5:AT28">
    <cfRule type="cellIs" dxfId="91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43"/>
  <sheetViews>
    <sheetView showGridLines="0" zoomScale="140" zoomScaleNormal="140" workbookViewId="0">
      <pane xSplit="6" ySplit="4" topLeftCell="U5" activePane="bottomRight" state="frozen"/>
      <selection activeCell="L8" sqref="L8:N10"/>
      <selection pane="topRight" activeCell="L8" sqref="L8:N10"/>
      <selection pane="bottomLeft" activeCell="L8" sqref="L8:N10"/>
      <selection pane="bottomRight" activeCell="C13" sqref="C13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4" width="5.453125" style="109" customWidth="1"/>
    <col min="5" max="6" width="4" style="109" customWidth="1"/>
    <col min="7" max="7" width="5.26953125" style="109" customWidth="1"/>
    <col min="8" max="8" width="1.54296875" style="109" customWidth="1"/>
    <col min="9" max="9" width="5.26953125" style="109" customWidth="1"/>
    <col min="10" max="10" width="6" style="109" customWidth="1"/>
    <col min="11" max="11" width="5.7265625" style="109" customWidth="1"/>
    <col min="12" max="12" width="9.54296875" style="109" customWidth="1"/>
    <col min="13" max="13" width="4.453125" style="109" customWidth="1"/>
    <col min="14" max="14" width="4.26953125" style="109" customWidth="1"/>
    <col min="15" max="15" width="9.1796875" style="109" customWidth="1"/>
    <col min="16" max="16" width="6.81640625" style="109" customWidth="1"/>
    <col min="17" max="17" width="14.81640625" style="109" customWidth="1"/>
    <col min="18" max="18" width="11" style="109" customWidth="1"/>
    <col min="19" max="19" width="8.54296875" style="109" customWidth="1"/>
    <col min="20" max="27" width="2.7265625" style="109" customWidth="1"/>
    <col min="28" max="29" width="2.7265625" style="109" hidden="1" customWidth="1"/>
    <col min="30" max="37" width="2.7265625" style="109" customWidth="1"/>
    <col min="38" max="39" width="2.7265625" style="109" hidden="1" customWidth="1"/>
    <col min="40" max="41" width="2.7265625" style="109" customWidth="1"/>
    <col min="42" max="42" width="5.54296875" style="109" customWidth="1"/>
    <col min="43" max="43" width="5" style="109" customWidth="1"/>
    <col min="44" max="44" width="7.54296875" style="109" customWidth="1"/>
    <col min="45" max="46" width="4.54296875" style="109" customWidth="1"/>
    <col min="47" max="47" width="2.7265625" style="109" customWidth="1"/>
    <col min="48" max="48" width="9" style="109" customWidth="1"/>
    <col min="49" max="49" width="3" style="109" customWidth="1"/>
    <col min="50" max="50" width="1.26953125" style="109" customWidth="1"/>
    <col min="51" max="51" width="6.54296875" style="109" customWidth="1"/>
    <col min="52" max="52" width="3.7265625" style="109" customWidth="1"/>
    <col min="53" max="53" width="5.54296875" style="109" customWidth="1"/>
    <col min="54" max="56" width="2.81640625" style="109" hidden="1" customWidth="1"/>
    <col min="57" max="57" width="6.54296875" style="109" customWidth="1"/>
    <col min="58" max="58" width="4.26953125" style="109" customWidth="1"/>
    <col min="59" max="59" width="5.7265625" style="109" customWidth="1"/>
    <col min="60" max="60" width="6.7265625" style="109" customWidth="1"/>
    <col min="61" max="61" width="4.26953125" style="109" customWidth="1"/>
    <col min="62" max="62" width="6" style="109" customWidth="1"/>
    <col min="63" max="72" width="9.1796875" style="109" customWidth="1"/>
    <col min="73" max="16384" width="14.453125" style="109"/>
  </cols>
  <sheetData>
    <row r="1" spans="1:62" ht="10.5" customHeight="1">
      <c r="A1" s="322" t="s">
        <v>0</v>
      </c>
      <c r="B1" s="353"/>
      <c r="C1" s="353"/>
      <c r="D1" s="354"/>
      <c r="E1" s="324" t="s">
        <v>1</v>
      </c>
      <c r="F1" s="298"/>
      <c r="G1" s="325" t="s">
        <v>2</v>
      </c>
      <c r="H1" s="326"/>
      <c r="I1" s="326"/>
      <c r="J1" s="326"/>
      <c r="K1" s="326"/>
      <c r="L1" s="326"/>
      <c r="M1" s="326"/>
      <c r="N1" s="326"/>
      <c r="O1" s="326"/>
      <c r="P1" s="326"/>
      <c r="Q1" s="327"/>
      <c r="R1" s="328" t="s">
        <v>3</v>
      </c>
      <c r="S1" s="331" t="s">
        <v>4</v>
      </c>
      <c r="T1" s="334" t="s">
        <v>5</v>
      </c>
      <c r="U1" s="297"/>
      <c r="V1" s="297"/>
      <c r="W1" s="297"/>
      <c r="X1" s="297"/>
      <c r="Y1" s="297"/>
      <c r="Z1" s="297"/>
      <c r="AA1" s="297"/>
      <c r="AB1" s="297"/>
      <c r="AC1" s="335"/>
      <c r="AD1" s="296" t="s">
        <v>6</v>
      </c>
      <c r="AE1" s="297"/>
      <c r="AF1" s="297"/>
      <c r="AG1" s="297"/>
      <c r="AH1" s="297"/>
      <c r="AI1" s="297"/>
      <c r="AJ1" s="297"/>
      <c r="AK1" s="297"/>
      <c r="AL1" s="297"/>
      <c r="AM1" s="298"/>
      <c r="AN1" s="302" t="s">
        <v>7</v>
      </c>
      <c r="AO1" s="297"/>
      <c r="AP1" s="303"/>
      <c r="AQ1" s="306" t="s">
        <v>8</v>
      </c>
      <c r="AR1" s="297"/>
      <c r="AS1" s="297"/>
      <c r="AT1" s="297"/>
      <c r="AU1" s="297"/>
      <c r="AV1" s="297"/>
      <c r="AW1" s="307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 spans="1:62" ht="10.5" customHeight="1">
      <c r="A2" s="355"/>
      <c r="B2" s="356"/>
      <c r="C2" s="356"/>
      <c r="D2" s="357"/>
      <c r="E2" s="304"/>
      <c r="F2" s="301"/>
      <c r="G2" s="304"/>
      <c r="H2" s="300"/>
      <c r="I2" s="300"/>
      <c r="J2" s="300"/>
      <c r="K2" s="300"/>
      <c r="L2" s="300"/>
      <c r="M2" s="300"/>
      <c r="N2" s="300"/>
      <c r="O2" s="300"/>
      <c r="P2" s="300"/>
      <c r="Q2" s="305"/>
      <c r="R2" s="329"/>
      <c r="S2" s="332"/>
      <c r="T2" s="304"/>
      <c r="U2" s="300"/>
      <c r="V2" s="300"/>
      <c r="W2" s="300"/>
      <c r="X2" s="300"/>
      <c r="Y2" s="300"/>
      <c r="Z2" s="300"/>
      <c r="AA2" s="300"/>
      <c r="AB2" s="300"/>
      <c r="AC2" s="336"/>
      <c r="AD2" s="299"/>
      <c r="AE2" s="300"/>
      <c r="AF2" s="300"/>
      <c r="AG2" s="300"/>
      <c r="AH2" s="300"/>
      <c r="AI2" s="300"/>
      <c r="AJ2" s="300"/>
      <c r="AK2" s="300"/>
      <c r="AL2" s="300"/>
      <c r="AM2" s="301"/>
      <c r="AN2" s="304"/>
      <c r="AO2" s="300"/>
      <c r="AP2" s="305"/>
      <c r="AQ2" s="300"/>
      <c r="AR2" s="300"/>
      <c r="AS2" s="300"/>
      <c r="AT2" s="300"/>
      <c r="AU2" s="300"/>
      <c r="AV2" s="300"/>
      <c r="AW2" s="308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</row>
    <row r="3" spans="1:62" ht="19" customHeight="1">
      <c r="A3" s="309" t="s">
        <v>9</v>
      </c>
      <c r="B3" s="311" t="s">
        <v>10</v>
      </c>
      <c r="C3" s="313" t="s">
        <v>131</v>
      </c>
      <c r="D3" s="358" t="s">
        <v>82</v>
      </c>
      <c r="E3" s="352" t="s">
        <v>11</v>
      </c>
      <c r="F3" s="317" t="s">
        <v>12</v>
      </c>
      <c r="G3" s="318" t="s">
        <v>13</v>
      </c>
      <c r="H3" s="319"/>
      <c r="I3" s="320"/>
      <c r="J3" s="321" t="s">
        <v>77</v>
      </c>
      <c r="K3" s="319"/>
      <c r="L3" s="320"/>
      <c r="M3" s="131" t="s">
        <v>18</v>
      </c>
      <c r="N3" s="342" t="s">
        <v>19</v>
      </c>
      <c r="O3" s="342" t="s">
        <v>20</v>
      </c>
      <c r="P3" s="342" t="s">
        <v>78</v>
      </c>
      <c r="Q3" s="343" t="s">
        <v>79</v>
      </c>
      <c r="R3" s="329"/>
      <c r="S3" s="332"/>
      <c r="T3" s="339" t="s">
        <v>24</v>
      </c>
      <c r="U3" s="320"/>
      <c r="V3" s="338" t="s">
        <v>25</v>
      </c>
      <c r="W3" s="320"/>
      <c r="X3" s="338" t="s">
        <v>26</v>
      </c>
      <c r="Y3" s="320"/>
      <c r="Z3" s="338" t="s">
        <v>27</v>
      </c>
      <c r="AA3" s="320"/>
      <c r="AB3" s="338" t="s">
        <v>28</v>
      </c>
      <c r="AC3" s="340"/>
      <c r="AD3" s="341" t="s">
        <v>24</v>
      </c>
      <c r="AE3" s="320"/>
      <c r="AF3" s="338" t="s">
        <v>25</v>
      </c>
      <c r="AG3" s="320"/>
      <c r="AH3" s="338" t="s">
        <v>26</v>
      </c>
      <c r="AI3" s="320"/>
      <c r="AJ3" s="338" t="s">
        <v>27</v>
      </c>
      <c r="AK3" s="320"/>
      <c r="AL3" s="338" t="s">
        <v>28</v>
      </c>
      <c r="AM3" s="320"/>
      <c r="AN3" s="19" t="s">
        <v>29</v>
      </c>
      <c r="AO3" s="349" t="s">
        <v>30</v>
      </c>
      <c r="AP3" s="350" t="s">
        <v>31</v>
      </c>
      <c r="AQ3" s="345" t="s">
        <v>32</v>
      </c>
      <c r="AR3" s="20" t="s">
        <v>33</v>
      </c>
      <c r="AS3" s="20" t="s">
        <v>34</v>
      </c>
      <c r="AT3" s="20" t="s">
        <v>35</v>
      </c>
      <c r="AU3" s="20" t="s">
        <v>29</v>
      </c>
      <c r="AV3" s="68" t="s">
        <v>83</v>
      </c>
      <c r="AW3" s="347" t="s">
        <v>30</v>
      </c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</row>
    <row r="4" spans="1:62" ht="10.5" customHeight="1">
      <c r="A4" s="310"/>
      <c r="B4" s="312"/>
      <c r="C4" s="388"/>
      <c r="D4" s="359"/>
      <c r="E4" s="346"/>
      <c r="F4" s="314"/>
      <c r="G4" s="52" t="s">
        <v>36</v>
      </c>
      <c r="H4" s="53" t="s">
        <v>37</v>
      </c>
      <c r="I4" s="54" t="s">
        <v>36</v>
      </c>
      <c r="J4" s="22" t="s">
        <v>80</v>
      </c>
      <c r="K4" s="22" t="s">
        <v>81</v>
      </c>
      <c r="L4" s="22" t="s">
        <v>17</v>
      </c>
      <c r="M4" s="54" t="s">
        <v>39</v>
      </c>
      <c r="N4" s="312"/>
      <c r="O4" s="312"/>
      <c r="P4" s="312"/>
      <c r="Q4" s="344"/>
      <c r="R4" s="330"/>
      <c r="S4" s="333"/>
      <c r="T4" s="24" t="s">
        <v>29</v>
      </c>
      <c r="U4" s="25" t="s">
        <v>40</v>
      </c>
      <c r="V4" s="21" t="s">
        <v>29</v>
      </c>
      <c r="W4" s="25" t="s">
        <v>40</v>
      </c>
      <c r="X4" s="21" t="s">
        <v>29</v>
      </c>
      <c r="Y4" s="25" t="s">
        <v>40</v>
      </c>
      <c r="Z4" s="21" t="s">
        <v>29</v>
      </c>
      <c r="AA4" s="25" t="s">
        <v>40</v>
      </c>
      <c r="AB4" s="21" t="s">
        <v>29</v>
      </c>
      <c r="AC4" s="58" t="s">
        <v>40</v>
      </c>
      <c r="AD4" s="61" t="s">
        <v>29</v>
      </c>
      <c r="AE4" s="25" t="s">
        <v>40</v>
      </c>
      <c r="AF4" s="21" t="s">
        <v>29</v>
      </c>
      <c r="AG4" s="25" t="s">
        <v>40</v>
      </c>
      <c r="AH4" s="21" t="s">
        <v>29</v>
      </c>
      <c r="AI4" s="25" t="s">
        <v>40</v>
      </c>
      <c r="AJ4" s="21" t="s">
        <v>29</v>
      </c>
      <c r="AK4" s="25" t="s">
        <v>40</v>
      </c>
      <c r="AL4" s="21" t="s">
        <v>29</v>
      </c>
      <c r="AM4" s="26" t="s">
        <v>40</v>
      </c>
      <c r="AN4" s="27" t="s">
        <v>41</v>
      </c>
      <c r="AO4" s="312"/>
      <c r="AP4" s="351"/>
      <c r="AQ4" s="346"/>
      <c r="AR4" s="28" t="s">
        <v>42</v>
      </c>
      <c r="AS4" s="28" t="s">
        <v>43</v>
      </c>
      <c r="AT4" s="28" t="s">
        <v>44</v>
      </c>
      <c r="AU4" s="28" t="s">
        <v>41</v>
      </c>
      <c r="AV4" s="22" t="s">
        <v>41</v>
      </c>
      <c r="AW4" s="348"/>
      <c r="AX4" s="71"/>
      <c r="AY4" s="73" t="s">
        <v>45</v>
      </c>
      <c r="AZ4" s="73" t="s">
        <v>46</v>
      </c>
      <c r="BA4" s="73" t="s">
        <v>47</v>
      </c>
      <c r="BB4" s="73" t="s">
        <v>48</v>
      </c>
      <c r="BC4" s="73" t="s">
        <v>49</v>
      </c>
      <c r="BD4" s="73" t="s">
        <v>50</v>
      </c>
      <c r="BE4" s="73" t="s">
        <v>51</v>
      </c>
      <c r="BF4" s="73" t="s">
        <v>52</v>
      </c>
      <c r="BG4" s="73" t="s">
        <v>53</v>
      </c>
      <c r="BH4" s="73" t="s">
        <v>54</v>
      </c>
      <c r="BI4" s="73" t="s">
        <v>55</v>
      </c>
      <c r="BJ4" s="73" t="s">
        <v>56</v>
      </c>
    </row>
    <row r="5" spans="1:62" s="129" customFormat="1" ht="8.25" customHeight="1">
      <c r="A5" s="1"/>
      <c r="B5" s="2"/>
      <c r="C5" s="3"/>
      <c r="D5" s="65"/>
      <c r="E5" s="64"/>
      <c r="F5" s="4"/>
      <c r="G5" s="64"/>
      <c r="H5" s="6"/>
      <c r="I5" s="110"/>
      <c r="J5" s="7"/>
      <c r="K5" s="6"/>
      <c r="L5" s="7"/>
      <c r="M5" s="12"/>
      <c r="N5" s="130"/>
      <c r="O5" s="130"/>
      <c r="P5" s="8"/>
      <c r="Q5" s="56"/>
      <c r="R5" s="9"/>
      <c r="S5" s="10"/>
      <c r="T5" s="11"/>
      <c r="U5" s="12"/>
      <c r="V5" s="12"/>
      <c r="W5" s="12"/>
      <c r="X5" s="12"/>
      <c r="Y5" s="2"/>
      <c r="Z5" s="2"/>
      <c r="AA5" s="2"/>
      <c r="AB5" s="2"/>
      <c r="AC5" s="59"/>
      <c r="AD5" s="62"/>
      <c r="AE5" s="2"/>
      <c r="AF5" s="2"/>
      <c r="AG5" s="2"/>
      <c r="AH5" s="2"/>
      <c r="AI5" s="2"/>
      <c r="AJ5" s="12"/>
      <c r="AK5" s="12"/>
      <c r="AL5" s="12"/>
      <c r="AM5" s="13"/>
      <c r="AN5" s="11"/>
      <c r="AO5" s="12"/>
      <c r="AP5" s="4"/>
      <c r="AQ5" s="14"/>
      <c r="AR5" s="2"/>
      <c r="AS5" s="16"/>
      <c r="AT5" s="16"/>
      <c r="AU5" s="15"/>
      <c r="AV5" s="66"/>
      <c r="AW5" s="17"/>
      <c r="AX5" s="18"/>
      <c r="AY5" s="18" t="str">
        <f t="shared" ref="AY5:AY30" si="0">IF(AND($AQ5="TC",NOT(ISBLANK($AU5))),$AW5*$AS5,"")</f>
        <v/>
      </c>
      <c r="AZ5" s="18" t="str">
        <f t="shared" ref="AZ5:AZ30" si="1">IF(AND($AQ5="TC",NOT(ISBLANK($AU5))),$AW5,"")</f>
        <v/>
      </c>
      <c r="BA5" s="18"/>
      <c r="BB5" s="18"/>
      <c r="BC5" s="18"/>
      <c r="BD5" s="18"/>
      <c r="BE5" s="18" t="str">
        <f t="shared" ref="BE5:BE30" si="2">IF(AND($AQ5="HTS",NOT(ISBLANK($AU5))),$AW5*$AS5,"")</f>
        <v/>
      </c>
      <c r="BF5" s="18" t="str">
        <f t="shared" ref="BF5:BF30" si="3">IF(AND($AQ5="HTS",NOT(ISBLANK($AU5))),$AW5,"")</f>
        <v/>
      </c>
      <c r="BG5" s="18"/>
      <c r="BH5" s="18" t="str">
        <f t="shared" ref="BH5:BH30" si="4">IF(AND($AQ5="HAST",NOT(ISBLANK($AU5))),$AW5*$AS5,"")</f>
        <v/>
      </c>
      <c r="BI5" s="18" t="str">
        <f t="shared" ref="BI5:BI30" si="5">IF(AND($AQ5="HAST",NOT(ISBLANK($AU5))),$AW5,"")</f>
        <v/>
      </c>
      <c r="BJ5" s="18"/>
    </row>
    <row r="6" spans="1:62" s="129" customFormat="1" ht="8.25" customHeight="1">
      <c r="A6" s="1"/>
      <c r="B6" s="2"/>
      <c r="C6" s="3"/>
      <c r="D6" s="65"/>
      <c r="E6" s="64"/>
      <c r="F6" s="4"/>
      <c r="G6" s="5"/>
      <c r="H6" s="6"/>
      <c r="I6" s="7"/>
      <c r="J6" s="7"/>
      <c r="K6" s="6"/>
      <c r="L6" s="7"/>
      <c r="M6" s="126"/>
      <c r="N6" s="12"/>
      <c r="O6" s="12"/>
      <c r="P6" s="2"/>
      <c r="Q6" s="56"/>
      <c r="R6" s="9"/>
      <c r="S6" s="10"/>
      <c r="T6" s="11"/>
      <c r="U6" s="12"/>
      <c r="V6" s="12"/>
      <c r="W6" s="12"/>
      <c r="X6" s="12"/>
      <c r="Y6" s="2"/>
      <c r="Z6" s="2"/>
      <c r="AA6" s="2"/>
      <c r="AB6" s="2"/>
      <c r="AC6" s="59"/>
      <c r="AD6" s="62"/>
      <c r="AE6" s="2"/>
      <c r="AF6" s="2"/>
      <c r="AG6" s="2"/>
      <c r="AH6" s="2"/>
      <c r="AI6" s="2"/>
      <c r="AJ6" s="12"/>
      <c r="AK6" s="12"/>
      <c r="AL6" s="12"/>
      <c r="AM6" s="13"/>
      <c r="AN6" s="11"/>
      <c r="AO6" s="12"/>
      <c r="AP6" s="4"/>
      <c r="AQ6" s="14"/>
      <c r="AR6" s="2"/>
      <c r="AS6" s="15"/>
      <c r="AT6" s="16"/>
      <c r="AU6" s="15"/>
      <c r="AV6" s="66"/>
      <c r="AW6" s="17"/>
      <c r="AX6" s="18"/>
      <c r="AY6" s="18" t="str">
        <f t="shared" si="0"/>
        <v/>
      </c>
      <c r="AZ6" s="18" t="str">
        <f t="shared" si="1"/>
        <v/>
      </c>
      <c r="BA6" s="18"/>
      <c r="BB6" s="18"/>
      <c r="BC6" s="18"/>
      <c r="BD6" s="18"/>
      <c r="BE6" s="18" t="str">
        <f t="shared" si="2"/>
        <v/>
      </c>
      <c r="BF6" s="18" t="str">
        <f t="shared" si="3"/>
        <v/>
      </c>
      <c r="BG6" s="18"/>
      <c r="BH6" s="18" t="str">
        <f t="shared" si="4"/>
        <v/>
      </c>
      <c r="BI6" s="18" t="str">
        <f t="shared" si="5"/>
        <v/>
      </c>
      <c r="BJ6" s="18"/>
    </row>
    <row r="7" spans="1:62" s="129" customFormat="1" ht="8.25" customHeight="1">
      <c r="A7" s="1"/>
      <c r="B7" s="2"/>
      <c r="C7" s="3"/>
      <c r="D7" s="65"/>
      <c r="E7" s="64"/>
      <c r="F7" s="4"/>
      <c r="G7" s="5"/>
      <c r="H7" s="6"/>
      <c r="I7" s="7"/>
      <c r="J7" s="7"/>
      <c r="K7" s="6"/>
      <c r="L7" s="7"/>
      <c r="M7" s="126"/>
      <c r="N7" s="7"/>
      <c r="O7" s="7"/>
      <c r="P7" s="8"/>
      <c r="Q7" s="56"/>
      <c r="R7" s="9"/>
      <c r="S7" s="10"/>
      <c r="T7" s="11"/>
      <c r="U7" s="12"/>
      <c r="V7" s="12"/>
      <c r="W7" s="12"/>
      <c r="X7" s="12"/>
      <c r="Y7" s="2"/>
      <c r="Z7" s="2"/>
      <c r="AA7" s="2"/>
      <c r="AB7" s="2"/>
      <c r="AC7" s="59"/>
      <c r="AD7" s="62"/>
      <c r="AE7" s="2"/>
      <c r="AF7" s="2"/>
      <c r="AG7" s="2"/>
      <c r="AH7" s="2"/>
      <c r="AI7" s="2"/>
      <c r="AJ7" s="12"/>
      <c r="AK7" s="12"/>
      <c r="AL7" s="12"/>
      <c r="AM7" s="13"/>
      <c r="AN7" s="11"/>
      <c r="AO7" s="12"/>
      <c r="AP7" s="4"/>
      <c r="AQ7" s="14"/>
      <c r="AR7" s="2"/>
      <c r="AS7" s="15"/>
      <c r="AT7" s="16"/>
      <c r="AU7" s="15"/>
      <c r="AV7" s="66"/>
      <c r="AW7" s="17"/>
      <c r="AX7" s="18"/>
      <c r="AY7" s="18" t="str">
        <f t="shared" si="0"/>
        <v/>
      </c>
      <c r="AZ7" s="18" t="str">
        <f t="shared" si="1"/>
        <v/>
      </c>
      <c r="BA7" s="18"/>
      <c r="BB7" s="18"/>
      <c r="BC7" s="18"/>
      <c r="BD7" s="18"/>
      <c r="BE7" s="18" t="str">
        <f t="shared" si="2"/>
        <v/>
      </c>
      <c r="BF7" s="18" t="str">
        <f t="shared" si="3"/>
        <v/>
      </c>
      <c r="BG7" s="18"/>
      <c r="BH7" s="18" t="str">
        <f t="shared" si="4"/>
        <v/>
      </c>
      <c r="BI7" s="18" t="str">
        <f t="shared" si="5"/>
        <v/>
      </c>
      <c r="BJ7" s="18"/>
    </row>
    <row r="8" spans="1:62" s="129" customFormat="1" ht="8.25" customHeight="1">
      <c r="A8" s="1"/>
      <c r="B8" s="2"/>
      <c r="C8" s="3"/>
      <c r="D8" s="65"/>
      <c r="E8" s="64"/>
      <c r="F8" s="4"/>
      <c r="G8" s="64"/>
      <c r="H8" s="6"/>
      <c r="I8" s="110"/>
      <c r="J8" s="7"/>
      <c r="K8" s="6"/>
      <c r="L8" s="7"/>
      <c r="M8" s="12"/>
      <c r="N8" s="130"/>
      <c r="O8" s="130"/>
      <c r="P8" s="8"/>
      <c r="Q8" s="56"/>
      <c r="R8" s="9"/>
      <c r="S8" s="10"/>
      <c r="T8" s="11"/>
      <c r="U8" s="12"/>
      <c r="V8" s="12"/>
      <c r="W8" s="12"/>
      <c r="X8" s="12"/>
      <c r="Y8" s="2"/>
      <c r="Z8" s="2"/>
      <c r="AA8" s="2"/>
      <c r="AB8" s="2"/>
      <c r="AC8" s="59"/>
      <c r="AD8" s="62"/>
      <c r="AE8" s="2"/>
      <c r="AF8" s="2"/>
      <c r="AG8" s="2"/>
      <c r="AH8" s="2"/>
      <c r="AI8" s="2"/>
      <c r="AJ8" s="12"/>
      <c r="AK8" s="12"/>
      <c r="AL8" s="12"/>
      <c r="AM8" s="13"/>
      <c r="AN8" s="11"/>
      <c r="AO8" s="12"/>
      <c r="AP8" s="4"/>
      <c r="AQ8" s="14"/>
      <c r="AR8" s="2"/>
      <c r="AS8" s="16"/>
      <c r="AT8" s="16"/>
      <c r="AU8" s="15"/>
      <c r="AV8" s="66"/>
      <c r="AW8" s="17"/>
      <c r="AX8" s="18"/>
      <c r="AY8" s="18" t="str">
        <f t="shared" si="0"/>
        <v/>
      </c>
      <c r="AZ8" s="18" t="str">
        <f t="shared" si="1"/>
        <v/>
      </c>
      <c r="BA8" s="18"/>
      <c r="BB8" s="18"/>
      <c r="BC8" s="18"/>
      <c r="BD8" s="18"/>
      <c r="BE8" s="18" t="str">
        <f t="shared" si="2"/>
        <v/>
      </c>
      <c r="BF8" s="18" t="str">
        <f t="shared" si="3"/>
        <v/>
      </c>
      <c r="BG8" s="18"/>
      <c r="BH8" s="18" t="str">
        <f t="shared" si="4"/>
        <v/>
      </c>
      <c r="BI8" s="18" t="str">
        <f t="shared" si="5"/>
        <v/>
      </c>
      <c r="BJ8" s="18"/>
    </row>
    <row r="9" spans="1:62" s="129" customFormat="1" ht="8.25" customHeight="1">
      <c r="A9" s="1"/>
      <c r="B9" s="2"/>
      <c r="C9" s="3"/>
      <c r="D9" s="65"/>
      <c r="E9" s="64"/>
      <c r="F9" s="4"/>
      <c r="G9" s="64"/>
      <c r="H9" s="6"/>
      <c r="I9" s="110"/>
      <c r="J9" s="7"/>
      <c r="K9" s="6"/>
      <c r="L9" s="7"/>
      <c r="M9" s="12"/>
      <c r="N9" s="130"/>
      <c r="O9" s="130"/>
      <c r="P9" s="8"/>
      <c r="Q9" s="56"/>
      <c r="R9" s="9"/>
      <c r="S9" s="10"/>
      <c r="T9" s="11"/>
      <c r="U9" s="12"/>
      <c r="V9" s="12"/>
      <c r="W9" s="12"/>
      <c r="X9" s="12"/>
      <c r="Y9" s="2"/>
      <c r="Z9" s="2"/>
      <c r="AA9" s="2"/>
      <c r="AB9" s="2"/>
      <c r="AC9" s="59"/>
      <c r="AD9" s="62"/>
      <c r="AE9" s="2"/>
      <c r="AF9" s="2"/>
      <c r="AG9" s="2"/>
      <c r="AH9" s="2"/>
      <c r="AI9" s="2"/>
      <c r="AJ9" s="12"/>
      <c r="AK9" s="12"/>
      <c r="AL9" s="12"/>
      <c r="AM9" s="13"/>
      <c r="AN9" s="11"/>
      <c r="AO9" s="12"/>
      <c r="AP9" s="4"/>
      <c r="AQ9" s="14"/>
      <c r="AR9" s="2"/>
      <c r="AS9" s="15"/>
      <c r="AT9" s="16"/>
      <c r="AU9" s="15"/>
      <c r="AV9" s="66"/>
      <c r="AW9" s="17"/>
      <c r="AX9" s="18"/>
      <c r="AY9" s="18" t="str">
        <f t="shared" si="0"/>
        <v/>
      </c>
      <c r="AZ9" s="18" t="str">
        <f t="shared" si="1"/>
        <v/>
      </c>
      <c r="BA9" s="18"/>
      <c r="BB9" s="18"/>
      <c r="BC9" s="18"/>
      <c r="BD9" s="18"/>
      <c r="BE9" s="18" t="str">
        <f t="shared" si="2"/>
        <v/>
      </c>
      <c r="BF9" s="18" t="str">
        <f t="shared" si="3"/>
        <v/>
      </c>
      <c r="BG9" s="18"/>
      <c r="BH9" s="18" t="str">
        <f t="shared" si="4"/>
        <v/>
      </c>
      <c r="BI9" s="18" t="str">
        <f t="shared" si="5"/>
        <v/>
      </c>
      <c r="BJ9" s="18"/>
    </row>
    <row r="10" spans="1:62" s="129" customFormat="1" ht="8.25" customHeight="1">
      <c r="A10" s="1"/>
      <c r="B10" s="2"/>
      <c r="C10" s="3"/>
      <c r="D10" s="65"/>
      <c r="E10" s="64"/>
      <c r="F10" s="4"/>
      <c r="G10" s="5"/>
      <c r="H10" s="6"/>
      <c r="I10" s="7"/>
      <c r="J10" s="7"/>
      <c r="K10" s="6"/>
      <c r="L10" s="7"/>
      <c r="M10" s="12"/>
      <c r="N10" s="130"/>
      <c r="O10" s="130"/>
      <c r="P10" s="2"/>
      <c r="Q10" s="56"/>
      <c r="R10" s="9"/>
      <c r="S10" s="10"/>
      <c r="T10" s="11"/>
      <c r="U10" s="12"/>
      <c r="V10" s="12"/>
      <c r="W10" s="12"/>
      <c r="X10" s="12"/>
      <c r="Y10" s="2"/>
      <c r="Z10" s="2"/>
      <c r="AA10" s="2"/>
      <c r="AB10" s="2"/>
      <c r="AC10" s="59"/>
      <c r="AD10" s="62"/>
      <c r="AE10" s="2"/>
      <c r="AF10" s="2"/>
      <c r="AG10" s="2"/>
      <c r="AH10" s="2"/>
      <c r="AI10" s="2"/>
      <c r="AJ10" s="12"/>
      <c r="AK10" s="12"/>
      <c r="AL10" s="12"/>
      <c r="AM10" s="13"/>
      <c r="AN10" s="11"/>
      <c r="AO10" s="12"/>
      <c r="AP10" s="4"/>
      <c r="AQ10" s="14"/>
      <c r="AR10" s="2"/>
      <c r="AS10" s="15"/>
      <c r="AT10" s="16"/>
      <c r="AU10" s="15"/>
      <c r="AV10" s="66"/>
      <c r="AW10" s="17"/>
      <c r="AX10" s="18"/>
      <c r="AY10" s="18" t="str">
        <f t="shared" si="0"/>
        <v/>
      </c>
      <c r="AZ10" s="18" t="str">
        <f t="shared" si="1"/>
        <v/>
      </c>
      <c r="BA10" s="18"/>
      <c r="BB10" s="18"/>
      <c r="BC10" s="18"/>
      <c r="BD10" s="18"/>
      <c r="BE10" s="18" t="str">
        <f t="shared" si="2"/>
        <v/>
      </c>
      <c r="BF10" s="18" t="str">
        <f t="shared" si="3"/>
        <v/>
      </c>
      <c r="BG10" s="18"/>
      <c r="BH10" s="18" t="str">
        <f t="shared" si="4"/>
        <v/>
      </c>
      <c r="BI10" s="18" t="str">
        <f t="shared" si="5"/>
        <v/>
      </c>
      <c r="BJ10" s="18"/>
    </row>
    <row r="11" spans="1:62" s="129" customFormat="1" ht="8.25" customHeight="1">
      <c r="A11" s="1"/>
      <c r="B11" s="2"/>
      <c r="C11" s="3"/>
      <c r="D11" s="65"/>
      <c r="E11" s="64"/>
      <c r="F11" s="4"/>
      <c r="G11" s="5"/>
      <c r="H11" s="6"/>
      <c r="I11" s="7"/>
      <c r="J11" s="7"/>
      <c r="K11" s="6"/>
      <c r="L11" s="7"/>
      <c r="M11" s="12"/>
      <c r="N11" s="130"/>
      <c r="O11" s="130"/>
      <c r="P11" s="2"/>
      <c r="Q11" s="56"/>
      <c r="R11" s="9"/>
      <c r="S11" s="10"/>
      <c r="T11" s="11"/>
      <c r="U11" s="12"/>
      <c r="V11" s="12"/>
      <c r="W11" s="12"/>
      <c r="X11" s="12"/>
      <c r="Y11" s="2"/>
      <c r="Z11" s="2"/>
      <c r="AA11" s="2"/>
      <c r="AB11" s="2"/>
      <c r="AC11" s="59"/>
      <c r="AD11" s="62"/>
      <c r="AE11" s="2"/>
      <c r="AF11" s="2"/>
      <c r="AG11" s="2"/>
      <c r="AH11" s="2"/>
      <c r="AI11" s="2"/>
      <c r="AJ11" s="12"/>
      <c r="AK11" s="12"/>
      <c r="AL11" s="12"/>
      <c r="AM11" s="13"/>
      <c r="AN11" s="11"/>
      <c r="AO11" s="12"/>
      <c r="AP11" s="4"/>
      <c r="AQ11" s="14"/>
      <c r="AR11" s="2"/>
      <c r="AS11" s="16"/>
      <c r="AT11" s="16"/>
      <c r="AU11" s="16"/>
      <c r="AV11" s="67"/>
      <c r="AW11" s="51"/>
      <c r="AX11" s="18"/>
      <c r="AY11" s="18" t="str">
        <f t="shared" si="0"/>
        <v/>
      </c>
      <c r="AZ11" s="18" t="str">
        <f t="shared" si="1"/>
        <v/>
      </c>
      <c r="BA11" s="18"/>
      <c r="BB11" s="18"/>
      <c r="BC11" s="18"/>
      <c r="BD11" s="18"/>
      <c r="BE11" s="18" t="str">
        <f t="shared" si="2"/>
        <v/>
      </c>
      <c r="BF11" s="18" t="str">
        <f t="shared" si="3"/>
        <v/>
      </c>
      <c r="BG11" s="18"/>
      <c r="BH11" s="18" t="str">
        <f t="shared" si="4"/>
        <v/>
      </c>
      <c r="BI11" s="18" t="str">
        <f t="shared" si="5"/>
        <v/>
      </c>
      <c r="BJ11" s="18"/>
    </row>
    <row r="12" spans="1:62" s="129" customFormat="1" ht="8.25" customHeight="1">
      <c r="A12" s="1"/>
      <c r="B12" s="2"/>
      <c r="C12" s="3"/>
      <c r="D12" s="65"/>
      <c r="E12" s="64"/>
      <c r="F12" s="4"/>
      <c r="G12" s="5"/>
      <c r="H12" s="6"/>
      <c r="I12" s="7"/>
      <c r="J12" s="7"/>
      <c r="K12" s="6"/>
      <c r="L12" s="7"/>
      <c r="M12" s="12"/>
      <c r="N12" s="130"/>
      <c r="O12" s="130"/>
      <c r="P12" s="2"/>
      <c r="Q12" s="56"/>
      <c r="R12" s="9"/>
      <c r="S12" s="10"/>
      <c r="T12" s="11"/>
      <c r="U12" s="12"/>
      <c r="V12" s="12"/>
      <c r="W12" s="12"/>
      <c r="X12" s="12"/>
      <c r="Y12" s="2"/>
      <c r="Z12" s="2"/>
      <c r="AA12" s="2"/>
      <c r="AB12" s="2"/>
      <c r="AC12" s="59"/>
      <c r="AD12" s="62"/>
      <c r="AE12" s="2"/>
      <c r="AF12" s="2"/>
      <c r="AG12" s="2"/>
      <c r="AH12" s="2"/>
      <c r="AI12" s="2"/>
      <c r="AJ12" s="12"/>
      <c r="AK12" s="12"/>
      <c r="AL12" s="12"/>
      <c r="AM12" s="13"/>
      <c r="AN12" s="11"/>
      <c r="AO12" s="12"/>
      <c r="AP12" s="4"/>
      <c r="AQ12" s="14"/>
      <c r="AR12" s="2"/>
      <c r="AS12" s="16"/>
      <c r="AT12" s="16"/>
      <c r="AU12" s="16"/>
      <c r="AV12" s="67"/>
      <c r="AW12" s="51"/>
      <c r="AX12" s="18"/>
      <c r="AY12" s="18" t="str">
        <f t="shared" si="0"/>
        <v/>
      </c>
      <c r="AZ12" s="18" t="str">
        <f t="shared" si="1"/>
        <v/>
      </c>
      <c r="BA12" s="18"/>
      <c r="BB12" s="18"/>
      <c r="BC12" s="18"/>
      <c r="BD12" s="18"/>
      <c r="BE12" s="18" t="str">
        <f t="shared" si="2"/>
        <v/>
      </c>
      <c r="BF12" s="18" t="str">
        <f t="shared" si="3"/>
        <v/>
      </c>
      <c r="BG12" s="18"/>
      <c r="BH12" s="18" t="str">
        <f t="shared" si="4"/>
        <v/>
      </c>
      <c r="BI12" s="18" t="str">
        <f t="shared" si="5"/>
        <v/>
      </c>
      <c r="BJ12" s="18"/>
    </row>
    <row r="13" spans="1:62" s="129" customFormat="1" ht="8.25" customHeight="1">
      <c r="A13" s="1"/>
      <c r="B13" s="2"/>
      <c r="C13" s="3"/>
      <c r="D13" s="65"/>
      <c r="E13" s="64"/>
      <c r="F13" s="4"/>
      <c r="G13" s="5"/>
      <c r="H13" s="6"/>
      <c r="I13" s="7"/>
      <c r="J13" s="7"/>
      <c r="K13" s="6"/>
      <c r="L13" s="7"/>
      <c r="M13" s="12"/>
      <c r="N13" s="130"/>
      <c r="O13" s="130"/>
      <c r="P13" s="2"/>
      <c r="Q13" s="56"/>
      <c r="R13" s="9"/>
      <c r="S13" s="10"/>
      <c r="T13" s="11"/>
      <c r="U13" s="12"/>
      <c r="V13" s="12"/>
      <c r="W13" s="12"/>
      <c r="X13" s="12"/>
      <c r="Y13" s="2"/>
      <c r="Z13" s="2"/>
      <c r="AA13" s="2"/>
      <c r="AB13" s="2"/>
      <c r="AC13" s="59"/>
      <c r="AD13" s="62"/>
      <c r="AE13" s="2"/>
      <c r="AF13" s="2"/>
      <c r="AG13" s="2"/>
      <c r="AH13" s="2"/>
      <c r="AI13" s="2"/>
      <c r="AJ13" s="12"/>
      <c r="AK13" s="12"/>
      <c r="AL13" s="12"/>
      <c r="AM13" s="13"/>
      <c r="AN13" s="11"/>
      <c r="AO13" s="12"/>
      <c r="AP13" s="4"/>
      <c r="AQ13" s="14"/>
      <c r="AR13" s="2"/>
      <c r="AS13" s="16"/>
      <c r="AT13" s="16"/>
      <c r="AU13" s="16"/>
      <c r="AV13" s="67"/>
      <c r="AW13" s="51"/>
      <c r="AX13" s="18"/>
      <c r="AY13" s="18" t="str">
        <f t="shared" si="0"/>
        <v/>
      </c>
      <c r="AZ13" s="18" t="str">
        <f t="shared" si="1"/>
        <v/>
      </c>
      <c r="BA13" s="18"/>
      <c r="BB13" s="18"/>
      <c r="BC13" s="18"/>
      <c r="BD13" s="18"/>
      <c r="BE13" s="18" t="str">
        <f t="shared" si="2"/>
        <v/>
      </c>
      <c r="BF13" s="18" t="str">
        <f t="shared" si="3"/>
        <v/>
      </c>
      <c r="BG13" s="18"/>
      <c r="BH13" s="18" t="str">
        <f t="shared" si="4"/>
        <v/>
      </c>
      <c r="BI13" s="18" t="str">
        <f t="shared" si="5"/>
        <v/>
      </c>
      <c r="BJ13" s="18"/>
    </row>
    <row r="14" spans="1:62" s="129" customFormat="1" ht="8.25" customHeight="1">
      <c r="A14" s="1"/>
      <c r="B14" s="2"/>
      <c r="C14" s="3"/>
      <c r="D14" s="65"/>
      <c r="E14" s="64"/>
      <c r="F14" s="4"/>
      <c r="G14" s="5"/>
      <c r="H14" s="6"/>
      <c r="I14" s="7"/>
      <c r="J14" s="7"/>
      <c r="K14" s="6"/>
      <c r="L14" s="7"/>
      <c r="M14" s="12"/>
      <c r="N14" s="130"/>
      <c r="O14" s="130"/>
      <c r="P14" s="2"/>
      <c r="Q14" s="56"/>
      <c r="R14" s="9"/>
      <c r="S14" s="10"/>
      <c r="T14" s="11"/>
      <c r="U14" s="12"/>
      <c r="V14" s="12"/>
      <c r="W14" s="12"/>
      <c r="X14" s="12"/>
      <c r="Y14" s="2"/>
      <c r="Z14" s="2"/>
      <c r="AA14" s="2"/>
      <c r="AB14" s="2"/>
      <c r="AC14" s="59"/>
      <c r="AD14" s="62"/>
      <c r="AE14" s="2"/>
      <c r="AF14" s="2"/>
      <c r="AG14" s="2"/>
      <c r="AH14" s="2"/>
      <c r="AI14" s="2"/>
      <c r="AJ14" s="12"/>
      <c r="AK14" s="12"/>
      <c r="AL14" s="12"/>
      <c r="AM14" s="13"/>
      <c r="AN14" s="11"/>
      <c r="AO14" s="12"/>
      <c r="AP14" s="4"/>
      <c r="AQ14" s="14"/>
      <c r="AR14" s="2"/>
      <c r="AS14" s="15"/>
      <c r="AT14" s="16"/>
      <c r="AU14" s="15"/>
      <c r="AV14" s="66"/>
      <c r="AW14" s="17"/>
      <c r="AX14" s="18"/>
      <c r="AY14" s="18" t="str">
        <f t="shared" si="0"/>
        <v/>
      </c>
      <c r="AZ14" s="18" t="str">
        <f t="shared" si="1"/>
        <v/>
      </c>
      <c r="BA14" s="18"/>
      <c r="BB14" s="18"/>
      <c r="BC14" s="18"/>
      <c r="BD14" s="18"/>
      <c r="BE14" s="18" t="str">
        <f t="shared" si="2"/>
        <v/>
      </c>
      <c r="BF14" s="18" t="str">
        <f t="shared" si="3"/>
        <v/>
      </c>
      <c r="BG14" s="18"/>
      <c r="BH14" s="18" t="str">
        <f t="shared" si="4"/>
        <v/>
      </c>
      <c r="BI14" s="18" t="str">
        <f t="shared" si="5"/>
        <v/>
      </c>
      <c r="BJ14" s="18"/>
    </row>
    <row r="15" spans="1:62" s="129" customFormat="1" ht="8.25" customHeight="1">
      <c r="A15" s="1"/>
      <c r="B15" s="2"/>
      <c r="C15" s="3"/>
      <c r="D15" s="65"/>
      <c r="E15" s="64"/>
      <c r="F15" s="4"/>
      <c r="G15" s="5"/>
      <c r="H15" s="6"/>
      <c r="I15" s="7"/>
      <c r="J15" s="7"/>
      <c r="K15" s="6"/>
      <c r="L15" s="7"/>
      <c r="M15" s="12"/>
      <c r="N15" s="130"/>
      <c r="O15" s="130"/>
      <c r="P15" s="2"/>
      <c r="Q15" s="56"/>
      <c r="R15" s="9"/>
      <c r="S15" s="10"/>
      <c r="T15" s="11"/>
      <c r="U15" s="12"/>
      <c r="V15" s="12"/>
      <c r="W15" s="12"/>
      <c r="X15" s="12"/>
      <c r="Y15" s="2"/>
      <c r="Z15" s="2"/>
      <c r="AA15" s="2"/>
      <c r="AB15" s="2"/>
      <c r="AC15" s="59"/>
      <c r="AD15" s="62"/>
      <c r="AE15" s="2"/>
      <c r="AF15" s="2"/>
      <c r="AG15" s="2"/>
      <c r="AH15" s="2"/>
      <c r="AI15" s="2"/>
      <c r="AJ15" s="12"/>
      <c r="AK15" s="12"/>
      <c r="AL15" s="12"/>
      <c r="AM15" s="13"/>
      <c r="AN15" s="11"/>
      <c r="AO15" s="12"/>
      <c r="AP15" s="4"/>
      <c r="AQ15" s="14"/>
      <c r="AR15" s="2"/>
      <c r="AS15" s="16"/>
      <c r="AT15" s="16"/>
      <c r="AU15" s="16"/>
      <c r="AV15" s="67"/>
      <c r="AW15" s="51"/>
      <c r="AX15" s="18"/>
      <c r="AY15" s="18" t="str">
        <f t="shared" si="0"/>
        <v/>
      </c>
      <c r="AZ15" s="18" t="str">
        <f t="shared" si="1"/>
        <v/>
      </c>
      <c r="BA15" s="18"/>
      <c r="BB15" s="18"/>
      <c r="BC15" s="18"/>
      <c r="BD15" s="18"/>
      <c r="BE15" s="18" t="str">
        <f t="shared" si="2"/>
        <v/>
      </c>
      <c r="BF15" s="18" t="str">
        <f t="shared" si="3"/>
        <v/>
      </c>
      <c r="BG15" s="18"/>
      <c r="BH15" s="18" t="str">
        <f t="shared" si="4"/>
        <v/>
      </c>
      <c r="BI15" s="18" t="str">
        <f t="shared" si="5"/>
        <v/>
      </c>
      <c r="BJ15" s="18"/>
    </row>
    <row r="16" spans="1:62" s="129" customFormat="1" ht="8.25" customHeight="1">
      <c r="A16" s="1"/>
      <c r="B16" s="2"/>
      <c r="C16" s="3"/>
      <c r="D16" s="65"/>
      <c r="E16" s="64"/>
      <c r="F16" s="4"/>
      <c r="G16" s="5"/>
      <c r="H16" s="6"/>
      <c r="I16" s="7"/>
      <c r="J16" s="7"/>
      <c r="K16" s="6"/>
      <c r="L16" s="7"/>
      <c r="M16" s="12"/>
      <c r="N16" s="130"/>
      <c r="O16" s="130"/>
      <c r="P16" s="2"/>
      <c r="Q16" s="56"/>
      <c r="R16" s="9"/>
      <c r="S16" s="10"/>
      <c r="T16" s="11"/>
      <c r="U16" s="12"/>
      <c r="V16" s="12"/>
      <c r="W16" s="12"/>
      <c r="X16" s="12"/>
      <c r="Y16" s="2"/>
      <c r="Z16" s="2"/>
      <c r="AA16" s="2"/>
      <c r="AB16" s="2"/>
      <c r="AC16" s="59"/>
      <c r="AD16" s="62"/>
      <c r="AE16" s="2"/>
      <c r="AF16" s="2"/>
      <c r="AG16" s="2"/>
      <c r="AH16" s="2"/>
      <c r="AI16" s="2"/>
      <c r="AJ16" s="12"/>
      <c r="AK16" s="12"/>
      <c r="AL16" s="12"/>
      <c r="AM16" s="13"/>
      <c r="AN16" s="11"/>
      <c r="AO16" s="12"/>
      <c r="AP16" s="4"/>
      <c r="AQ16" s="14"/>
      <c r="AR16" s="2"/>
      <c r="AS16" s="15"/>
      <c r="AT16" s="16"/>
      <c r="AU16" s="15"/>
      <c r="AV16" s="66"/>
      <c r="AW16" s="17"/>
      <c r="AX16" s="18"/>
      <c r="AY16" s="18" t="str">
        <f t="shared" si="0"/>
        <v/>
      </c>
      <c r="AZ16" s="18" t="str">
        <f t="shared" si="1"/>
        <v/>
      </c>
      <c r="BA16" s="18"/>
      <c r="BB16" s="18"/>
      <c r="BC16" s="18"/>
      <c r="BD16" s="18"/>
      <c r="BE16" s="18" t="str">
        <f t="shared" si="2"/>
        <v/>
      </c>
      <c r="BF16" s="18" t="str">
        <f t="shared" si="3"/>
        <v/>
      </c>
      <c r="BG16" s="18"/>
      <c r="BH16" s="18" t="str">
        <f t="shared" si="4"/>
        <v/>
      </c>
      <c r="BI16" s="18" t="str">
        <f t="shared" si="5"/>
        <v/>
      </c>
      <c r="BJ16" s="18"/>
    </row>
    <row r="17" spans="1:62" s="129" customFormat="1" ht="8.25" customHeight="1">
      <c r="A17" s="1"/>
      <c r="B17" s="2"/>
      <c r="C17" s="3"/>
      <c r="D17" s="65"/>
      <c r="E17" s="64"/>
      <c r="F17" s="4"/>
      <c r="G17" s="5"/>
      <c r="H17" s="6"/>
      <c r="I17" s="7"/>
      <c r="J17" s="7"/>
      <c r="K17" s="6"/>
      <c r="L17" s="7"/>
      <c r="M17" s="12"/>
      <c r="N17" s="130"/>
      <c r="O17" s="130"/>
      <c r="P17" s="2"/>
      <c r="Q17" s="56"/>
      <c r="R17" s="9"/>
      <c r="S17" s="10"/>
      <c r="T17" s="11"/>
      <c r="U17" s="12"/>
      <c r="V17" s="12"/>
      <c r="W17" s="12"/>
      <c r="X17" s="12"/>
      <c r="Y17" s="2"/>
      <c r="Z17" s="2"/>
      <c r="AA17" s="2"/>
      <c r="AB17" s="2"/>
      <c r="AC17" s="59"/>
      <c r="AD17" s="62"/>
      <c r="AE17" s="2"/>
      <c r="AF17" s="2"/>
      <c r="AG17" s="2"/>
      <c r="AH17" s="2"/>
      <c r="AI17" s="2"/>
      <c r="AJ17" s="12"/>
      <c r="AK17" s="12"/>
      <c r="AL17" s="12"/>
      <c r="AM17" s="13"/>
      <c r="AN17" s="11"/>
      <c r="AO17" s="12"/>
      <c r="AP17" s="4"/>
      <c r="AQ17" s="14"/>
      <c r="AR17" s="2"/>
      <c r="AS17" s="15"/>
      <c r="AT17" s="16"/>
      <c r="AU17" s="15"/>
      <c r="AV17" s="66"/>
      <c r="AW17" s="17"/>
      <c r="AX17" s="18"/>
      <c r="AY17" s="18" t="str">
        <f t="shared" si="0"/>
        <v/>
      </c>
      <c r="AZ17" s="18" t="str">
        <f t="shared" si="1"/>
        <v/>
      </c>
      <c r="BA17" s="18"/>
      <c r="BB17" s="18"/>
      <c r="BC17" s="18"/>
      <c r="BD17" s="18"/>
      <c r="BE17" s="18" t="str">
        <f t="shared" si="2"/>
        <v/>
      </c>
      <c r="BF17" s="18" t="str">
        <f t="shared" si="3"/>
        <v/>
      </c>
      <c r="BG17" s="18"/>
      <c r="BH17" s="18" t="str">
        <f t="shared" si="4"/>
        <v/>
      </c>
      <c r="BI17" s="18" t="str">
        <f t="shared" si="5"/>
        <v/>
      </c>
      <c r="BJ17" s="18"/>
    </row>
    <row r="18" spans="1:62" s="129" customFormat="1" ht="8.25" customHeight="1">
      <c r="A18" s="1"/>
      <c r="B18" s="2"/>
      <c r="C18" s="3"/>
      <c r="D18" s="65"/>
      <c r="E18" s="64"/>
      <c r="F18" s="4"/>
      <c r="G18" s="5"/>
      <c r="H18" s="6"/>
      <c r="I18" s="7"/>
      <c r="J18" s="7"/>
      <c r="K18" s="6"/>
      <c r="L18" s="7"/>
      <c r="M18" s="12"/>
      <c r="N18" s="130"/>
      <c r="O18" s="130"/>
      <c r="P18" s="2"/>
      <c r="Q18" s="56"/>
      <c r="R18" s="9"/>
      <c r="S18" s="10"/>
      <c r="T18" s="11"/>
      <c r="U18" s="12"/>
      <c r="V18" s="12"/>
      <c r="W18" s="12"/>
      <c r="X18" s="12"/>
      <c r="Y18" s="2"/>
      <c r="Z18" s="2"/>
      <c r="AA18" s="2"/>
      <c r="AB18" s="2"/>
      <c r="AC18" s="59"/>
      <c r="AD18" s="62"/>
      <c r="AE18" s="2"/>
      <c r="AF18" s="2"/>
      <c r="AG18" s="2"/>
      <c r="AH18" s="2"/>
      <c r="AI18" s="2"/>
      <c r="AJ18" s="12"/>
      <c r="AK18" s="12"/>
      <c r="AL18" s="12"/>
      <c r="AM18" s="13"/>
      <c r="AN18" s="11"/>
      <c r="AO18" s="12"/>
      <c r="AP18" s="4"/>
      <c r="AQ18" s="14"/>
      <c r="AR18" s="2"/>
      <c r="AS18" s="16"/>
      <c r="AT18" s="16"/>
      <c r="AU18" s="16"/>
      <c r="AV18" s="67"/>
      <c r="AW18" s="51"/>
      <c r="AX18" s="18"/>
      <c r="AY18" s="18" t="str">
        <f t="shared" si="0"/>
        <v/>
      </c>
      <c r="AZ18" s="18" t="str">
        <f t="shared" si="1"/>
        <v/>
      </c>
      <c r="BA18" s="18"/>
      <c r="BB18" s="18"/>
      <c r="BC18" s="18"/>
      <c r="BD18" s="18"/>
      <c r="BE18" s="18" t="str">
        <f t="shared" si="2"/>
        <v/>
      </c>
      <c r="BF18" s="18" t="str">
        <f t="shared" si="3"/>
        <v/>
      </c>
      <c r="BG18" s="18"/>
      <c r="BH18" s="18" t="str">
        <f t="shared" si="4"/>
        <v/>
      </c>
      <c r="BI18" s="18" t="str">
        <f t="shared" si="5"/>
        <v/>
      </c>
      <c r="BJ18" s="18"/>
    </row>
    <row r="19" spans="1:62" s="129" customFormat="1" ht="8.25" customHeight="1">
      <c r="A19" s="1"/>
      <c r="B19" s="2"/>
      <c r="C19" s="3"/>
      <c r="D19" s="65"/>
      <c r="E19" s="64"/>
      <c r="F19" s="4"/>
      <c r="G19" s="5"/>
      <c r="H19" s="6"/>
      <c r="I19" s="7"/>
      <c r="J19" s="7"/>
      <c r="K19" s="6"/>
      <c r="L19" s="7"/>
      <c r="M19" s="12"/>
      <c r="N19" s="130"/>
      <c r="O19" s="130"/>
      <c r="P19" s="2"/>
      <c r="Q19" s="56"/>
      <c r="R19" s="9"/>
      <c r="S19" s="10"/>
      <c r="T19" s="11"/>
      <c r="U19" s="12"/>
      <c r="V19" s="12"/>
      <c r="W19" s="12"/>
      <c r="X19" s="12"/>
      <c r="Y19" s="2"/>
      <c r="Z19" s="2"/>
      <c r="AA19" s="2"/>
      <c r="AB19" s="2"/>
      <c r="AC19" s="59"/>
      <c r="AD19" s="62"/>
      <c r="AE19" s="2"/>
      <c r="AF19" s="2"/>
      <c r="AG19" s="2"/>
      <c r="AH19" s="2"/>
      <c r="AI19" s="2"/>
      <c r="AJ19" s="12"/>
      <c r="AK19" s="12"/>
      <c r="AL19" s="12"/>
      <c r="AM19" s="13"/>
      <c r="AN19" s="11"/>
      <c r="AO19" s="12"/>
      <c r="AP19" s="4"/>
      <c r="AQ19" s="14"/>
      <c r="AR19" s="2"/>
      <c r="AS19" s="15"/>
      <c r="AT19" s="16"/>
      <c r="AU19" s="15"/>
      <c r="AV19" s="66"/>
      <c r="AW19" s="17"/>
      <c r="AX19" s="18"/>
      <c r="AY19" s="18" t="str">
        <f t="shared" si="0"/>
        <v/>
      </c>
      <c r="AZ19" s="18" t="str">
        <f t="shared" si="1"/>
        <v/>
      </c>
      <c r="BA19" s="18"/>
      <c r="BB19" s="18"/>
      <c r="BC19" s="18"/>
      <c r="BD19" s="18"/>
      <c r="BE19" s="18" t="str">
        <f t="shared" si="2"/>
        <v/>
      </c>
      <c r="BF19" s="18" t="str">
        <f t="shared" si="3"/>
        <v/>
      </c>
      <c r="BG19" s="18"/>
      <c r="BH19" s="18" t="str">
        <f t="shared" si="4"/>
        <v/>
      </c>
      <c r="BI19" s="18" t="str">
        <f t="shared" si="5"/>
        <v/>
      </c>
      <c r="BJ19" s="18"/>
    </row>
    <row r="20" spans="1:62" ht="8.25" customHeight="1">
      <c r="A20" s="1"/>
      <c r="B20" s="2"/>
      <c r="C20" s="3"/>
      <c r="D20" s="65"/>
      <c r="E20" s="64"/>
      <c r="F20" s="4"/>
      <c r="G20" s="5"/>
      <c r="H20" s="6"/>
      <c r="I20" s="7"/>
      <c r="J20" s="7"/>
      <c r="K20" s="6"/>
      <c r="L20" s="7"/>
      <c r="M20" s="12"/>
      <c r="N20" s="127"/>
      <c r="O20" s="127"/>
      <c r="P20" s="2"/>
      <c r="Q20" s="56"/>
      <c r="R20" s="9"/>
      <c r="S20" s="10"/>
      <c r="T20" s="11"/>
      <c r="U20" s="12"/>
      <c r="V20" s="12"/>
      <c r="W20" s="12"/>
      <c r="X20" s="12"/>
      <c r="Y20" s="2"/>
      <c r="Z20" s="2"/>
      <c r="AA20" s="2"/>
      <c r="AB20" s="2"/>
      <c r="AC20" s="59"/>
      <c r="AD20" s="62"/>
      <c r="AE20" s="2"/>
      <c r="AF20" s="2"/>
      <c r="AG20" s="2"/>
      <c r="AH20" s="2"/>
      <c r="AI20" s="2"/>
      <c r="AJ20" s="12"/>
      <c r="AK20" s="12"/>
      <c r="AL20" s="12"/>
      <c r="AM20" s="13"/>
      <c r="AN20" s="11"/>
      <c r="AO20" s="12"/>
      <c r="AP20" s="4"/>
      <c r="AQ20" s="14"/>
      <c r="AR20" s="2"/>
      <c r="AS20" s="16"/>
      <c r="AT20" s="16"/>
      <c r="AU20" s="16"/>
      <c r="AV20" s="67"/>
      <c r="AW20" s="51"/>
      <c r="AX20" s="18"/>
      <c r="AY20" s="18" t="str">
        <f t="shared" si="0"/>
        <v/>
      </c>
      <c r="AZ20" s="18" t="str">
        <f t="shared" si="1"/>
        <v/>
      </c>
      <c r="BA20" s="18"/>
      <c r="BB20" s="18"/>
      <c r="BC20" s="18"/>
      <c r="BD20" s="18"/>
      <c r="BE20" s="18" t="str">
        <f t="shared" si="2"/>
        <v/>
      </c>
      <c r="BF20" s="18" t="str">
        <f t="shared" si="3"/>
        <v/>
      </c>
      <c r="BG20" s="18"/>
      <c r="BH20" s="18" t="str">
        <f t="shared" si="4"/>
        <v/>
      </c>
      <c r="BI20" s="18" t="str">
        <f t="shared" si="5"/>
        <v/>
      </c>
      <c r="BJ20" s="18"/>
    </row>
    <row r="21" spans="1:62" ht="8.25" customHeight="1">
      <c r="A21" s="1"/>
      <c r="B21" s="2"/>
      <c r="C21" s="3"/>
      <c r="D21" s="65"/>
      <c r="E21" s="64"/>
      <c r="F21" s="4"/>
      <c r="G21" s="5"/>
      <c r="H21" s="6"/>
      <c r="I21" s="7"/>
      <c r="J21" s="7"/>
      <c r="K21" s="6"/>
      <c r="L21" s="7"/>
      <c r="M21" s="12"/>
      <c r="N21" s="127"/>
      <c r="O21" s="127"/>
      <c r="P21" s="2"/>
      <c r="Q21" s="56"/>
      <c r="R21" s="9"/>
      <c r="S21" s="10"/>
      <c r="T21" s="11"/>
      <c r="U21" s="12"/>
      <c r="V21" s="12"/>
      <c r="W21" s="12"/>
      <c r="X21" s="12"/>
      <c r="Y21" s="2"/>
      <c r="Z21" s="2"/>
      <c r="AA21" s="2"/>
      <c r="AB21" s="2"/>
      <c r="AC21" s="59"/>
      <c r="AD21" s="62"/>
      <c r="AE21" s="2"/>
      <c r="AF21" s="2"/>
      <c r="AG21" s="2"/>
      <c r="AH21" s="2"/>
      <c r="AI21" s="2"/>
      <c r="AJ21" s="12"/>
      <c r="AK21" s="12"/>
      <c r="AL21" s="12"/>
      <c r="AM21" s="13"/>
      <c r="AN21" s="11"/>
      <c r="AO21" s="12"/>
      <c r="AP21" s="4"/>
      <c r="AQ21" s="14"/>
      <c r="AR21" s="2"/>
      <c r="AS21" s="15"/>
      <c r="AT21" s="16"/>
      <c r="AU21" s="15"/>
      <c r="AV21" s="66"/>
      <c r="AW21" s="17"/>
      <c r="AX21" s="18"/>
      <c r="AY21" s="18" t="str">
        <f t="shared" si="0"/>
        <v/>
      </c>
      <c r="AZ21" s="18" t="str">
        <f t="shared" si="1"/>
        <v/>
      </c>
      <c r="BA21" s="18"/>
      <c r="BB21" s="18"/>
      <c r="BC21" s="18"/>
      <c r="BD21" s="18"/>
      <c r="BE21" s="18" t="str">
        <f t="shared" si="2"/>
        <v/>
      </c>
      <c r="BF21" s="18" t="str">
        <f t="shared" si="3"/>
        <v/>
      </c>
      <c r="BG21" s="18"/>
      <c r="BH21" s="18" t="str">
        <f t="shared" si="4"/>
        <v/>
      </c>
      <c r="BI21" s="18" t="str">
        <f t="shared" si="5"/>
        <v/>
      </c>
      <c r="BJ21" s="18"/>
    </row>
    <row r="22" spans="1:62" ht="8.25" customHeight="1">
      <c r="A22" s="1"/>
      <c r="B22" s="2"/>
      <c r="C22" s="3"/>
      <c r="D22" s="65"/>
      <c r="E22" s="64"/>
      <c r="F22" s="4"/>
      <c r="G22" s="5"/>
      <c r="H22" s="6"/>
      <c r="I22" s="7"/>
      <c r="J22" s="7"/>
      <c r="K22" s="6"/>
      <c r="L22" s="7"/>
      <c r="M22" s="12"/>
      <c r="N22" s="127"/>
      <c r="O22" s="127"/>
      <c r="P22" s="2"/>
      <c r="Q22" s="56"/>
      <c r="R22" s="9"/>
      <c r="S22" s="10"/>
      <c r="T22" s="11"/>
      <c r="U22" s="12"/>
      <c r="V22" s="12"/>
      <c r="W22" s="12"/>
      <c r="X22" s="12"/>
      <c r="Y22" s="2"/>
      <c r="Z22" s="2"/>
      <c r="AA22" s="2"/>
      <c r="AB22" s="2"/>
      <c r="AC22" s="59"/>
      <c r="AD22" s="62"/>
      <c r="AE22" s="2"/>
      <c r="AF22" s="2"/>
      <c r="AG22" s="2"/>
      <c r="AH22" s="2"/>
      <c r="AI22" s="2"/>
      <c r="AJ22" s="12"/>
      <c r="AK22" s="12"/>
      <c r="AL22" s="12"/>
      <c r="AM22" s="13"/>
      <c r="AN22" s="11"/>
      <c r="AO22" s="12"/>
      <c r="AP22" s="4"/>
      <c r="AQ22" s="14"/>
      <c r="AR22" s="2"/>
      <c r="AS22" s="15"/>
      <c r="AT22" s="16"/>
      <c r="AU22" s="15"/>
      <c r="AV22" s="66"/>
      <c r="AW22" s="17"/>
      <c r="AX22" s="18"/>
      <c r="AY22" s="18" t="str">
        <f t="shared" si="0"/>
        <v/>
      </c>
      <c r="AZ22" s="18" t="str">
        <f t="shared" si="1"/>
        <v/>
      </c>
      <c r="BA22" s="18"/>
      <c r="BB22" s="18"/>
      <c r="BC22" s="18"/>
      <c r="BD22" s="18"/>
      <c r="BE22" s="18" t="str">
        <f t="shared" si="2"/>
        <v/>
      </c>
      <c r="BF22" s="18" t="str">
        <f t="shared" si="3"/>
        <v/>
      </c>
      <c r="BG22" s="18"/>
      <c r="BH22" s="18" t="str">
        <f t="shared" si="4"/>
        <v/>
      </c>
      <c r="BI22" s="18" t="str">
        <f t="shared" si="5"/>
        <v/>
      </c>
      <c r="BJ22" s="18"/>
    </row>
    <row r="23" spans="1:62" ht="8.25" customHeight="1">
      <c r="A23" s="1"/>
      <c r="B23" s="2"/>
      <c r="C23" s="3"/>
      <c r="D23" s="65"/>
      <c r="E23" s="64"/>
      <c r="F23" s="4"/>
      <c r="G23" s="5"/>
      <c r="H23" s="6"/>
      <c r="I23" s="7"/>
      <c r="J23" s="7"/>
      <c r="K23" s="6"/>
      <c r="L23" s="7"/>
      <c r="M23" s="12"/>
      <c r="N23" s="127"/>
      <c r="O23" s="127"/>
      <c r="P23" s="2"/>
      <c r="Q23" s="56"/>
      <c r="R23" s="9"/>
      <c r="S23" s="10"/>
      <c r="T23" s="11"/>
      <c r="U23" s="12"/>
      <c r="V23" s="12"/>
      <c r="W23" s="12"/>
      <c r="X23" s="12"/>
      <c r="Y23" s="2"/>
      <c r="Z23" s="2"/>
      <c r="AA23" s="2"/>
      <c r="AB23" s="2"/>
      <c r="AC23" s="59"/>
      <c r="AD23" s="62"/>
      <c r="AE23" s="2"/>
      <c r="AF23" s="2"/>
      <c r="AG23" s="2"/>
      <c r="AH23" s="2"/>
      <c r="AI23" s="2"/>
      <c r="AJ23" s="12"/>
      <c r="AK23" s="12"/>
      <c r="AL23" s="12"/>
      <c r="AM23" s="13"/>
      <c r="AN23" s="11"/>
      <c r="AO23" s="12"/>
      <c r="AP23" s="4"/>
      <c r="AQ23" s="14"/>
      <c r="AR23" s="2"/>
      <c r="AS23" s="15"/>
      <c r="AT23" s="16"/>
      <c r="AU23" s="15"/>
      <c r="AV23" s="66"/>
      <c r="AW23" s="17"/>
      <c r="AX23" s="18"/>
      <c r="AY23" s="18" t="str">
        <f t="shared" si="0"/>
        <v/>
      </c>
      <c r="AZ23" s="18" t="str">
        <f t="shared" si="1"/>
        <v/>
      </c>
      <c r="BA23" s="18"/>
      <c r="BB23" s="18"/>
      <c r="BC23" s="18"/>
      <c r="BD23" s="18"/>
      <c r="BE23" s="18" t="str">
        <f t="shared" si="2"/>
        <v/>
      </c>
      <c r="BF23" s="18" t="str">
        <f t="shared" si="3"/>
        <v/>
      </c>
      <c r="BG23" s="18"/>
      <c r="BH23" s="18" t="str">
        <f t="shared" si="4"/>
        <v/>
      </c>
      <c r="BI23" s="18" t="str">
        <f t="shared" si="5"/>
        <v/>
      </c>
      <c r="BJ23" s="18"/>
    </row>
    <row r="24" spans="1:62" ht="8.25" customHeight="1">
      <c r="A24" s="1"/>
      <c r="B24" s="2"/>
      <c r="C24" s="3"/>
      <c r="D24" s="65"/>
      <c r="E24" s="64"/>
      <c r="F24" s="4"/>
      <c r="G24" s="5"/>
      <c r="H24" s="6"/>
      <c r="I24" s="7"/>
      <c r="J24" s="7"/>
      <c r="K24" s="6"/>
      <c r="L24" s="7"/>
      <c r="M24" s="12"/>
      <c r="N24" s="127"/>
      <c r="O24" s="127"/>
      <c r="P24" s="2"/>
      <c r="Q24" s="56"/>
      <c r="R24" s="9"/>
      <c r="S24" s="10"/>
      <c r="T24" s="11"/>
      <c r="U24" s="12"/>
      <c r="V24" s="12"/>
      <c r="W24" s="12"/>
      <c r="X24" s="12"/>
      <c r="Y24" s="2"/>
      <c r="Z24" s="2"/>
      <c r="AA24" s="2"/>
      <c r="AB24" s="2"/>
      <c r="AC24" s="59"/>
      <c r="AD24" s="62"/>
      <c r="AE24" s="2"/>
      <c r="AF24" s="2"/>
      <c r="AG24" s="2"/>
      <c r="AH24" s="2"/>
      <c r="AI24" s="2"/>
      <c r="AJ24" s="12"/>
      <c r="AK24" s="12"/>
      <c r="AL24" s="12"/>
      <c r="AM24" s="13"/>
      <c r="AN24" s="11"/>
      <c r="AO24" s="12"/>
      <c r="AP24" s="4"/>
      <c r="AQ24" s="14"/>
      <c r="AR24" s="2"/>
      <c r="AS24" s="15"/>
      <c r="AT24" s="16"/>
      <c r="AU24" s="15"/>
      <c r="AV24" s="66"/>
      <c r="AW24" s="17"/>
      <c r="AX24" s="18"/>
      <c r="AY24" s="18" t="str">
        <f t="shared" si="0"/>
        <v/>
      </c>
      <c r="AZ24" s="18" t="str">
        <f t="shared" si="1"/>
        <v/>
      </c>
      <c r="BA24" s="18"/>
      <c r="BB24" s="18"/>
      <c r="BC24" s="18"/>
      <c r="BD24" s="18"/>
      <c r="BE24" s="18" t="str">
        <f t="shared" si="2"/>
        <v/>
      </c>
      <c r="BF24" s="18" t="str">
        <f t="shared" si="3"/>
        <v/>
      </c>
      <c r="BG24" s="18"/>
      <c r="BH24" s="18" t="str">
        <f t="shared" si="4"/>
        <v/>
      </c>
      <c r="BI24" s="18" t="str">
        <f t="shared" si="5"/>
        <v/>
      </c>
      <c r="BJ24" s="18"/>
    </row>
    <row r="25" spans="1:62" ht="8.25" customHeight="1">
      <c r="A25" s="1"/>
      <c r="B25" s="2"/>
      <c r="C25" s="3"/>
      <c r="D25" s="65"/>
      <c r="E25" s="64"/>
      <c r="F25" s="4"/>
      <c r="G25" s="5"/>
      <c r="H25" s="6"/>
      <c r="I25" s="7"/>
      <c r="J25" s="7"/>
      <c r="K25" s="6"/>
      <c r="L25" s="7"/>
      <c r="M25" s="12"/>
      <c r="N25" s="127"/>
      <c r="O25" s="127"/>
      <c r="P25" s="2"/>
      <c r="Q25" s="56"/>
      <c r="R25" s="9"/>
      <c r="S25" s="10"/>
      <c r="T25" s="11"/>
      <c r="U25" s="12"/>
      <c r="V25" s="12"/>
      <c r="W25" s="12"/>
      <c r="X25" s="12"/>
      <c r="Y25" s="2"/>
      <c r="Z25" s="2"/>
      <c r="AA25" s="2"/>
      <c r="AB25" s="2"/>
      <c r="AC25" s="59"/>
      <c r="AD25" s="62"/>
      <c r="AE25" s="2"/>
      <c r="AF25" s="2"/>
      <c r="AG25" s="2"/>
      <c r="AH25" s="2"/>
      <c r="AI25" s="2"/>
      <c r="AJ25" s="12"/>
      <c r="AK25" s="12"/>
      <c r="AL25" s="12"/>
      <c r="AM25" s="13"/>
      <c r="AN25" s="11"/>
      <c r="AO25" s="12"/>
      <c r="AP25" s="4"/>
      <c r="AQ25" s="14"/>
      <c r="AR25" s="2"/>
      <c r="AS25" s="15"/>
      <c r="AT25" s="16"/>
      <c r="AU25" s="15"/>
      <c r="AV25" s="66"/>
      <c r="AW25" s="17"/>
      <c r="AX25" s="18"/>
      <c r="AY25" s="18" t="str">
        <f t="shared" si="0"/>
        <v/>
      </c>
      <c r="AZ25" s="18" t="str">
        <f t="shared" si="1"/>
        <v/>
      </c>
      <c r="BA25" s="18"/>
      <c r="BB25" s="18"/>
      <c r="BC25" s="18"/>
      <c r="BD25" s="18"/>
      <c r="BE25" s="18" t="str">
        <f t="shared" si="2"/>
        <v/>
      </c>
      <c r="BF25" s="18" t="str">
        <f t="shared" si="3"/>
        <v/>
      </c>
      <c r="BG25" s="18"/>
      <c r="BH25" s="18" t="str">
        <f t="shared" si="4"/>
        <v/>
      </c>
      <c r="BI25" s="18" t="str">
        <f t="shared" si="5"/>
        <v/>
      </c>
      <c r="BJ25" s="18"/>
    </row>
    <row r="26" spans="1:62" ht="8.25" customHeight="1">
      <c r="A26" s="1"/>
      <c r="B26" s="2"/>
      <c r="C26" s="3"/>
      <c r="D26" s="65"/>
      <c r="E26" s="64"/>
      <c r="F26" s="4"/>
      <c r="G26" s="5"/>
      <c r="H26" s="6"/>
      <c r="I26" s="7"/>
      <c r="J26" s="7"/>
      <c r="K26" s="6"/>
      <c r="L26" s="7"/>
      <c r="M26" s="12"/>
      <c r="N26" s="127"/>
      <c r="O26" s="127"/>
      <c r="P26" s="2"/>
      <c r="Q26" s="56"/>
      <c r="R26" s="9"/>
      <c r="S26" s="10"/>
      <c r="T26" s="11"/>
      <c r="U26" s="12"/>
      <c r="V26" s="12"/>
      <c r="W26" s="12"/>
      <c r="X26" s="12"/>
      <c r="Y26" s="2"/>
      <c r="Z26" s="2"/>
      <c r="AA26" s="2"/>
      <c r="AB26" s="2"/>
      <c r="AC26" s="59"/>
      <c r="AD26" s="62"/>
      <c r="AE26" s="2"/>
      <c r="AF26" s="2"/>
      <c r="AG26" s="2"/>
      <c r="AH26" s="2"/>
      <c r="AI26" s="2"/>
      <c r="AJ26" s="12"/>
      <c r="AK26" s="12"/>
      <c r="AL26" s="12"/>
      <c r="AM26" s="13"/>
      <c r="AN26" s="11"/>
      <c r="AO26" s="12"/>
      <c r="AP26" s="4"/>
      <c r="AQ26" s="14"/>
      <c r="AR26" s="2"/>
      <c r="AS26" s="16"/>
      <c r="AT26" s="16"/>
      <c r="AU26" s="16"/>
      <c r="AV26" s="67"/>
      <c r="AW26" s="51"/>
      <c r="AX26" s="18"/>
      <c r="AY26" s="18" t="str">
        <f t="shared" si="0"/>
        <v/>
      </c>
      <c r="AZ26" s="18" t="str">
        <f t="shared" si="1"/>
        <v/>
      </c>
      <c r="BA26" s="18"/>
      <c r="BB26" s="18"/>
      <c r="BC26" s="18"/>
      <c r="BD26" s="18"/>
      <c r="BE26" s="18" t="str">
        <f t="shared" si="2"/>
        <v/>
      </c>
      <c r="BF26" s="18" t="str">
        <f t="shared" si="3"/>
        <v/>
      </c>
      <c r="BG26" s="18"/>
      <c r="BH26" s="18" t="str">
        <f t="shared" si="4"/>
        <v/>
      </c>
      <c r="BI26" s="18" t="str">
        <f t="shared" si="5"/>
        <v/>
      </c>
      <c r="BJ26" s="18"/>
    </row>
    <row r="27" spans="1:62" ht="8.25" customHeight="1">
      <c r="A27" s="1"/>
      <c r="B27" s="2"/>
      <c r="C27" s="3"/>
      <c r="D27" s="65"/>
      <c r="E27" s="64"/>
      <c r="F27" s="4"/>
      <c r="G27" s="5"/>
      <c r="H27" s="6"/>
      <c r="I27" s="7"/>
      <c r="J27" s="7"/>
      <c r="K27" s="6"/>
      <c r="L27" s="7"/>
      <c r="M27" s="12"/>
      <c r="N27" s="127"/>
      <c r="O27" s="127"/>
      <c r="P27" s="2"/>
      <c r="Q27" s="56"/>
      <c r="R27" s="9"/>
      <c r="S27" s="10"/>
      <c r="T27" s="11"/>
      <c r="U27" s="12"/>
      <c r="V27" s="12"/>
      <c r="W27" s="12"/>
      <c r="X27" s="12"/>
      <c r="Y27" s="2"/>
      <c r="Z27" s="2"/>
      <c r="AA27" s="2"/>
      <c r="AB27" s="2"/>
      <c r="AC27" s="59"/>
      <c r="AD27" s="62"/>
      <c r="AE27" s="2"/>
      <c r="AF27" s="2"/>
      <c r="AG27" s="2"/>
      <c r="AH27" s="2"/>
      <c r="AI27" s="2"/>
      <c r="AJ27" s="12"/>
      <c r="AK27" s="12"/>
      <c r="AL27" s="12"/>
      <c r="AM27" s="13"/>
      <c r="AN27" s="11"/>
      <c r="AO27" s="12"/>
      <c r="AP27" s="4"/>
      <c r="AQ27" s="14"/>
      <c r="AR27" s="2"/>
      <c r="AS27" s="15"/>
      <c r="AT27" s="16"/>
      <c r="AU27" s="15"/>
      <c r="AV27" s="66"/>
      <c r="AW27" s="17"/>
      <c r="AX27" s="18"/>
      <c r="AY27" s="18" t="str">
        <f t="shared" si="0"/>
        <v/>
      </c>
      <c r="AZ27" s="18" t="str">
        <f t="shared" si="1"/>
        <v/>
      </c>
      <c r="BA27" s="18"/>
      <c r="BB27" s="18"/>
      <c r="BC27" s="18"/>
      <c r="BD27" s="18"/>
      <c r="BE27" s="18" t="str">
        <f t="shared" si="2"/>
        <v/>
      </c>
      <c r="BF27" s="18" t="str">
        <f t="shared" si="3"/>
        <v/>
      </c>
      <c r="BG27" s="18"/>
      <c r="BH27" s="18" t="str">
        <f t="shared" si="4"/>
        <v/>
      </c>
      <c r="BI27" s="18" t="str">
        <f t="shared" si="5"/>
        <v/>
      </c>
      <c r="BJ27" s="18"/>
    </row>
    <row r="28" spans="1:62" ht="8.25" customHeight="1">
      <c r="A28" s="1"/>
      <c r="B28" s="2"/>
      <c r="C28" s="3"/>
      <c r="D28" s="65"/>
      <c r="E28" s="64"/>
      <c r="F28" s="4"/>
      <c r="G28" s="5"/>
      <c r="H28" s="6"/>
      <c r="I28" s="7"/>
      <c r="J28" s="7"/>
      <c r="K28" s="6"/>
      <c r="L28" s="7"/>
      <c r="M28" s="12"/>
      <c r="N28" s="127"/>
      <c r="O28" s="127"/>
      <c r="P28" s="2"/>
      <c r="Q28" s="56"/>
      <c r="R28" s="9"/>
      <c r="S28" s="10"/>
      <c r="T28" s="11"/>
      <c r="U28" s="12"/>
      <c r="V28" s="12"/>
      <c r="W28" s="12"/>
      <c r="X28" s="12"/>
      <c r="Y28" s="2"/>
      <c r="Z28" s="2"/>
      <c r="AA28" s="2"/>
      <c r="AB28" s="2"/>
      <c r="AC28" s="59"/>
      <c r="AD28" s="62"/>
      <c r="AE28" s="2"/>
      <c r="AF28" s="2"/>
      <c r="AG28" s="2"/>
      <c r="AH28" s="2"/>
      <c r="AI28" s="2"/>
      <c r="AJ28" s="12"/>
      <c r="AK28" s="12"/>
      <c r="AL28" s="12"/>
      <c r="AM28" s="13"/>
      <c r="AN28" s="11"/>
      <c r="AO28" s="12"/>
      <c r="AP28" s="4"/>
      <c r="AQ28" s="14"/>
      <c r="AR28" s="2"/>
      <c r="AS28" s="15"/>
      <c r="AT28" s="16"/>
      <c r="AU28" s="15"/>
      <c r="AV28" s="66"/>
      <c r="AW28" s="17"/>
      <c r="AX28" s="18"/>
      <c r="AY28" s="18" t="str">
        <f t="shared" si="0"/>
        <v/>
      </c>
      <c r="AZ28" s="18" t="str">
        <f t="shared" si="1"/>
        <v/>
      </c>
      <c r="BA28" s="18"/>
      <c r="BB28" s="18"/>
      <c r="BC28" s="18"/>
      <c r="BD28" s="18"/>
      <c r="BE28" s="18" t="str">
        <f t="shared" si="2"/>
        <v/>
      </c>
      <c r="BF28" s="18" t="str">
        <f t="shared" si="3"/>
        <v/>
      </c>
      <c r="BG28" s="18"/>
      <c r="BH28" s="18" t="str">
        <f t="shared" si="4"/>
        <v/>
      </c>
      <c r="BI28" s="18" t="str">
        <f t="shared" si="5"/>
        <v/>
      </c>
      <c r="BJ28" s="18"/>
    </row>
    <row r="29" spans="1:62" ht="8.25" customHeight="1">
      <c r="A29" s="1"/>
      <c r="B29" s="2"/>
      <c r="C29" s="3"/>
      <c r="D29" s="65"/>
      <c r="E29" s="64"/>
      <c r="F29" s="4"/>
      <c r="G29" s="5"/>
      <c r="H29" s="6"/>
      <c r="I29" s="7"/>
      <c r="J29" s="7"/>
      <c r="K29" s="6"/>
      <c r="L29" s="7"/>
      <c r="M29" s="12"/>
      <c r="N29" s="127"/>
      <c r="O29" s="127"/>
      <c r="P29" s="2"/>
      <c r="Q29" s="56"/>
      <c r="R29" s="9"/>
      <c r="S29" s="10"/>
      <c r="T29" s="11"/>
      <c r="U29" s="12"/>
      <c r="V29" s="12"/>
      <c r="W29" s="12"/>
      <c r="X29" s="12"/>
      <c r="Y29" s="2"/>
      <c r="Z29" s="2"/>
      <c r="AA29" s="2"/>
      <c r="AB29" s="2"/>
      <c r="AC29" s="59"/>
      <c r="AD29" s="62"/>
      <c r="AE29" s="2"/>
      <c r="AF29" s="2"/>
      <c r="AG29" s="2"/>
      <c r="AH29" s="2"/>
      <c r="AI29" s="2"/>
      <c r="AJ29" s="12"/>
      <c r="AK29" s="12"/>
      <c r="AL29" s="12"/>
      <c r="AM29" s="13"/>
      <c r="AN29" s="11"/>
      <c r="AO29" s="12"/>
      <c r="AP29" s="4"/>
      <c r="AQ29" s="14"/>
      <c r="AR29" s="2"/>
      <c r="AS29" s="15"/>
      <c r="AT29" s="16"/>
      <c r="AU29" s="15"/>
      <c r="AV29" s="66"/>
      <c r="AW29" s="17"/>
      <c r="AX29" s="18"/>
      <c r="AY29" s="18" t="str">
        <f t="shared" si="0"/>
        <v/>
      </c>
      <c r="AZ29" s="18" t="str">
        <f t="shared" si="1"/>
        <v/>
      </c>
      <c r="BA29" s="18"/>
      <c r="BB29" s="18"/>
      <c r="BC29" s="18"/>
      <c r="BD29" s="18"/>
      <c r="BE29" s="18" t="str">
        <f t="shared" si="2"/>
        <v/>
      </c>
      <c r="BF29" s="18" t="str">
        <f t="shared" si="3"/>
        <v/>
      </c>
      <c r="BG29" s="18"/>
      <c r="BH29" s="18" t="str">
        <f t="shared" si="4"/>
        <v/>
      </c>
      <c r="BI29" s="18" t="str">
        <f t="shared" si="5"/>
        <v/>
      </c>
      <c r="BJ29" s="18"/>
    </row>
    <row r="30" spans="1:62" ht="8.25" customHeight="1" thickBot="1">
      <c r="A30" s="31"/>
      <c r="B30" s="32"/>
      <c r="C30" s="33"/>
      <c r="D30" s="35"/>
      <c r="E30" s="36"/>
      <c r="F30" s="35"/>
      <c r="G30" s="36"/>
      <c r="H30" s="32"/>
      <c r="I30" s="37"/>
      <c r="J30" s="37"/>
      <c r="K30" s="32"/>
      <c r="L30" s="37"/>
      <c r="M30" s="39"/>
      <c r="N30" s="128"/>
      <c r="O30" s="128"/>
      <c r="P30" s="32"/>
      <c r="Q30" s="57"/>
      <c r="R30" s="41"/>
      <c r="S30" s="42"/>
      <c r="T30" s="43"/>
      <c r="U30" s="39"/>
      <c r="V30" s="39"/>
      <c r="W30" s="39"/>
      <c r="X30" s="39"/>
      <c r="Y30" s="39"/>
      <c r="Z30" s="39"/>
      <c r="AA30" s="39"/>
      <c r="AB30" s="39"/>
      <c r="AC30" s="60"/>
      <c r="AD30" s="63"/>
      <c r="AE30" s="39"/>
      <c r="AF30" s="39"/>
      <c r="AG30" s="39"/>
      <c r="AH30" s="39"/>
      <c r="AI30" s="39"/>
      <c r="AJ30" s="39"/>
      <c r="AK30" s="39"/>
      <c r="AL30" s="39"/>
      <c r="AM30" s="40"/>
      <c r="AN30" s="43"/>
      <c r="AO30" s="39"/>
      <c r="AP30" s="35"/>
      <c r="AQ30" s="43"/>
      <c r="AR30" s="37"/>
      <c r="AS30" s="37"/>
      <c r="AT30" s="32"/>
      <c r="AU30" s="37"/>
      <c r="AV30" s="38"/>
      <c r="AW30" s="44"/>
      <c r="AX30" s="18"/>
      <c r="AY30" s="18" t="str">
        <f t="shared" si="0"/>
        <v/>
      </c>
      <c r="AZ30" s="18" t="str">
        <f t="shared" si="1"/>
        <v/>
      </c>
      <c r="BA30" s="18" t="str">
        <f>IF(AND($AQ30="TC",NOT(ISBLANK($AU30))),$AU30,"")</f>
        <v/>
      </c>
      <c r="BB30" s="18"/>
      <c r="BC30" s="18"/>
      <c r="BD30" s="18"/>
      <c r="BE30" s="18" t="str">
        <f t="shared" si="2"/>
        <v/>
      </c>
      <c r="BF30" s="18" t="str">
        <f t="shared" si="3"/>
        <v/>
      </c>
      <c r="BG30" s="18" t="str">
        <f>IF(AND($AQ30="HTS",NOT(ISBLANK($AU30))),$AU30,"")</f>
        <v/>
      </c>
      <c r="BH30" s="18" t="str">
        <f t="shared" si="4"/>
        <v/>
      </c>
      <c r="BI30" s="18" t="str">
        <f t="shared" si="5"/>
        <v/>
      </c>
      <c r="BJ30" s="18" t="str">
        <f>IF(AND($AQ30="HAST",NOT(ISBLANK($AU30))),$AU30,"")</f>
        <v/>
      </c>
    </row>
    <row r="31" spans="1:62" ht="9" customHeight="1" thickBot="1">
      <c r="A31" s="74"/>
      <c r="B31" s="74"/>
      <c r="C31" s="18"/>
      <c r="D31" s="18"/>
      <c r="E31" s="74"/>
      <c r="F31" s="74"/>
      <c r="G31" s="18"/>
      <c r="H31" s="18"/>
      <c r="I31" s="18"/>
      <c r="J31" s="74"/>
      <c r="K31" s="75"/>
      <c r="L31" s="74"/>
      <c r="M31" s="337"/>
      <c r="N31" s="332"/>
      <c r="O31" s="332"/>
      <c r="P31" s="74"/>
      <c r="Q31" s="74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1:62" ht="8.25" customHeight="1">
      <c r="A32" s="74"/>
      <c r="B32" s="74"/>
      <c r="C32" s="74"/>
      <c r="D32" s="74"/>
      <c r="E32" s="74"/>
      <c r="F32" s="74"/>
      <c r="G32" s="18"/>
      <c r="H32" s="18"/>
      <c r="I32" s="18"/>
      <c r="J32" s="74"/>
      <c r="K32" s="75"/>
      <c r="L32" s="74"/>
      <c r="M32" s="337"/>
      <c r="N32" s="332"/>
      <c r="O32" s="332"/>
      <c r="P32" s="74"/>
      <c r="Q32" s="74"/>
      <c r="R32" s="18"/>
      <c r="S32" s="111" t="s">
        <v>59</v>
      </c>
      <c r="T32" s="86" t="e">
        <f>AVERAGE(T$5:T30)</f>
        <v>#DIV/0!</v>
      </c>
      <c r="U32" s="86" t="e">
        <f>AVERAGE(U$5:U30)</f>
        <v>#DIV/0!</v>
      </c>
      <c r="V32" s="86" t="e">
        <f>AVERAGE(V$5:V30)</f>
        <v>#DIV/0!</v>
      </c>
      <c r="W32" s="86" t="e">
        <f>AVERAGE(W$5:W30)</f>
        <v>#DIV/0!</v>
      </c>
      <c r="X32" s="86" t="e">
        <f>AVERAGE(X$5:X30)</f>
        <v>#DIV/0!</v>
      </c>
      <c r="Y32" s="86" t="e">
        <f>AVERAGE(Y$5:Y30)</f>
        <v>#DIV/0!</v>
      </c>
      <c r="Z32" s="86" t="e">
        <f>AVERAGE(Z$5:Z30)</f>
        <v>#DIV/0!</v>
      </c>
      <c r="AA32" s="86" t="e">
        <f>AVERAGE(AA$5:AA30)</f>
        <v>#DIV/0!</v>
      </c>
      <c r="AB32" s="86" t="e">
        <f>AVERAGE(AB$5:AB30)</f>
        <v>#DIV/0!</v>
      </c>
      <c r="AC32" s="86" t="e">
        <f>AVERAGE(AC$5:AC30)</f>
        <v>#DIV/0!</v>
      </c>
      <c r="AD32" s="86" t="e">
        <f>AVERAGE(AD$5:AD30)</f>
        <v>#DIV/0!</v>
      </c>
      <c r="AE32" s="86" t="e">
        <f>AVERAGE(AE$5:AE30)</f>
        <v>#DIV/0!</v>
      </c>
      <c r="AF32" s="86" t="e">
        <f>AVERAGE(AF$5:AF30)</f>
        <v>#DIV/0!</v>
      </c>
      <c r="AG32" s="86" t="e">
        <f>AVERAGE(AG$5:AG30)</f>
        <v>#DIV/0!</v>
      </c>
      <c r="AH32" s="86" t="e">
        <f>AVERAGE(AH$5:AH30)</f>
        <v>#DIV/0!</v>
      </c>
      <c r="AI32" s="86" t="e">
        <f>AVERAGE(AI$5:AI30)</f>
        <v>#DIV/0!</v>
      </c>
      <c r="AJ32" s="86" t="e">
        <f>AVERAGE(AJ$5:AJ30)</f>
        <v>#DIV/0!</v>
      </c>
      <c r="AK32" s="87" t="e">
        <f>AVERAGE(AK$5:AK30)</f>
        <v>#DIV/0!</v>
      </c>
      <c r="AL32" s="83" t="e">
        <f>AVERAGE(AL$5:AL30)</f>
        <v>#DIV/0!</v>
      </c>
      <c r="AM32" s="46" t="e">
        <f>AVERAGE(AM$5:AM30)</f>
        <v>#DIV/0!</v>
      </c>
      <c r="AN32" s="72"/>
      <c r="AO32" s="18"/>
      <c r="AP32" s="18"/>
      <c r="AQ32" s="47" t="s">
        <v>60</v>
      </c>
      <c r="AR32" s="45" t="s">
        <v>61</v>
      </c>
      <c r="AS32" s="45" t="s">
        <v>62</v>
      </c>
      <c r="AT32" s="46" t="s">
        <v>41</v>
      </c>
      <c r="AU32" s="18"/>
      <c r="AV32" s="18"/>
      <c r="AW32" s="18"/>
      <c r="AX32" s="18"/>
      <c r="AY32" s="76">
        <f t="shared" ref="AY32:BJ32" si="6">SUM(AY5:AY30)</f>
        <v>0</v>
      </c>
      <c r="AZ32" s="76">
        <f t="shared" si="6"/>
        <v>0</v>
      </c>
      <c r="BA32" s="76">
        <f t="shared" si="6"/>
        <v>0</v>
      </c>
      <c r="BB32" s="76">
        <f t="shared" si="6"/>
        <v>0</v>
      </c>
      <c r="BC32" s="76">
        <f t="shared" si="6"/>
        <v>0</v>
      </c>
      <c r="BD32" s="76">
        <f t="shared" si="6"/>
        <v>0</v>
      </c>
      <c r="BE32" s="76">
        <f t="shared" si="6"/>
        <v>0</v>
      </c>
      <c r="BF32" s="76">
        <f t="shared" si="6"/>
        <v>0</v>
      </c>
      <c r="BG32" s="76">
        <f t="shared" si="6"/>
        <v>0</v>
      </c>
      <c r="BH32" s="76">
        <f t="shared" si="6"/>
        <v>0</v>
      </c>
      <c r="BI32" s="76">
        <f t="shared" si="6"/>
        <v>0</v>
      </c>
      <c r="BJ32" s="76">
        <f t="shared" si="6"/>
        <v>0</v>
      </c>
    </row>
    <row r="33" spans="1:62" ht="8.25" customHeight="1">
      <c r="A33" s="74"/>
      <c r="B33" s="74"/>
      <c r="C33" s="74"/>
      <c r="D33" s="74"/>
      <c r="E33" s="74"/>
      <c r="F33" s="74"/>
      <c r="G33" s="18"/>
      <c r="H33" s="18"/>
      <c r="I33" s="18"/>
      <c r="J33" s="74"/>
      <c r="K33" s="75"/>
      <c r="L33" s="74"/>
      <c r="M33" s="337"/>
      <c r="N33" s="332"/>
      <c r="O33" s="332"/>
      <c r="P33" s="74"/>
      <c r="Q33" s="74"/>
      <c r="R33" s="18"/>
      <c r="S33" s="112" t="s">
        <v>63</v>
      </c>
      <c r="T33" s="2">
        <f>MIN(T$5:T30)</f>
        <v>0</v>
      </c>
      <c r="U33" s="2">
        <f>MIN(U$5:U30)</f>
        <v>0</v>
      </c>
      <c r="V33" s="2">
        <f>MIN(V$5:V30)</f>
        <v>0</v>
      </c>
      <c r="W33" s="2">
        <f>MIN(W$5:W30)</f>
        <v>0</v>
      </c>
      <c r="X33" s="2">
        <f>MIN(X$5:X30)</f>
        <v>0</v>
      </c>
      <c r="Y33" s="2">
        <f>MIN(Y$5:Y30)</f>
        <v>0</v>
      </c>
      <c r="Z33" s="2">
        <f>MIN(Z$5:Z30)</f>
        <v>0</v>
      </c>
      <c r="AA33" s="2">
        <f>MIN(AA$5:AA30)</f>
        <v>0</v>
      </c>
      <c r="AB33" s="2">
        <f>MIN(AB$5:AB30)</f>
        <v>0</v>
      </c>
      <c r="AC33" s="2">
        <f>MIN(AC$5:AC30)</f>
        <v>0</v>
      </c>
      <c r="AD33" s="2">
        <f>MIN(AD$5:AD30)</f>
        <v>0</v>
      </c>
      <c r="AE33" s="2">
        <f>MIN(AE$5:AE30)</f>
        <v>0</v>
      </c>
      <c r="AF33" s="2">
        <f>MIN(AF$5:AF30)</f>
        <v>0</v>
      </c>
      <c r="AG33" s="2">
        <f>MIN(AG$5:AG30)</f>
        <v>0</v>
      </c>
      <c r="AH33" s="2">
        <f>MIN(AH$5:AH30)</f>
        <v>0</v>
      </c>
      <c r="AI33" s="2">
        <f>MIN(AI$5:AI30)</f>
        <v>0</v>
      </c>
      <c r="AJ33" s="2">
        <f>MIN(AJ$5:AJ30)</f>
        <v>0</v>
      </c>
      <c r="AK33" s="88">
        <f>MIN(AK$5:AK30)</f>
        <v>0</v>
      </c>
      <c r="AL33" s="84">
        <f>MIN(AL$5:AL30)</f>
        <v>0</v>
      </c>
      <c r="AM33" s="29">
        <f>MIN(AM$5:AM30)</f>
        <v>0</v>
      </c>
      <c r="AN33" s="72"/>
      <c r="AO33" s="18"/>
      <c r="AP33" s="18"/>
      <c r="AQ33" s="48" t="s">
        <v>64</v>
      </c>
      <c r="AR33" s="2" t="s">
        <v>65</v>
      </c>
      <c r="AS33" s="2">
        <f>SUM(AO5:AO30)</f>
        <v>0</v>
      </c>
      <c r="AT33" s="29">
        <f>SUM(AN5:AN30)</f>
        <v>0</v>
      </c>
      <c r="AU33" s="18"/>
      <c r="AV33" s="18"/>
      <c r="AW33" s="18"/>
      <c r="AX33" s="18"/>
      <c r="AY33" s="77" t="s">
        <v>45</v>
      </c>
      <c r="AZ33" s="77" t="s">
        <v>46</v>
      </c>
      <c r="BA33" s="77" t="s">
        <v>47</v>
      </c>
      <c r="BB33" s="77" t="s">
        <v>48</v>
      </c>
      <c r="BC33" s="77" t="s">
        <v>49</v>
      </c>
      <c r="BD33" s="77" t="s">
        <v>50</v>
      </c>
      <c r="BE33" s="77" t="s">
        <v>51</v>
      </c>
      <c r="BF33" s="77" t="s">
        <v>52</v>
      </c>
      <c r="BG33" s="77" t="s">
        <v>53</v>
      </c>
      <c r="BH33" s="77" t="s">
        <v>54</v>
      </c>
      <c r="BI33" s="77" t="s">
        <v>55</v>
      </c>
      <c r="BJ33" s="77" t="s">
        <v>56</v>
      </c>
    </row>
    <row r="34" spans="1:62" ht="8.25" customHeight="1">
      <c r="A34" s="74"/>
      <c r="B34" s="74"/>
      <c r="C34" s="74"/>
      <c r="D34" s="74"/>
      <c r="E34" s="74"/>
      <c r="F34" s="74"/>
      <c r="G34" s="18"/>
      <c r="H34" s="18"/>
      <c r="I34" s="18"/>
      <c r="J34" s="74"/>
      <c r="K34" s="75"/>
      <c r="L34" s="74"/>
      <c r="M34" s="337"/>
      <c r="N34" s="332"/>
      <c r="O34" s="332"/>
      <c r="P34" s="74"/>
      <c r="Q34" s="74"/>
      <c r="R34" s="18"/>
      <c r="S34" s="112" t="s">
        <v>146</v>
      </c>
      <c r="T34" s="2">
        <f>MAX(T$5:T30)</f>
        <v>0</v>
      </c>
      <c r="U34" s="2">
        <f>MAX(U$5:U30)</f>
        <v>0</v>
      </c>
      <c r="V34" s="2">
        <f>MAX(V$5:V30)</f>
        <v>0</v>
      </c>
      <c r="W34" s="2">
        <f>MAX(W$5:W30)</f>
        <v>0</v>
      </c>
      <c r="X34" s="2">
        <f>MAX(X$5:X30)</f>
        <v>0</v>
      </c>
      <c r="Y34" s="2">
        <f>MAX(Y$5:Y30)</f>
        <v>0</v>
      </c>
      <c r="Z34" s="2">
        <f>MAX(Z$5:Z30)</f>
        <v>0</v>
      </c>
      <c r="AA34" s="2">
        <f>MAX(AA$5:AA30)</f>
        <v>0</v>
      </c>
      <c r="AB34" s="2">
        <f>MAX(AB$5:AB30)</f>
        <v>0</v>
      </c>
      <c r="AC34" s="2">
        <f>MAX(AC$5:AC30)</f>
        <v>0</v>
      </c>
      <c r="AD34" s="2">
        <f>MAX(AD$5:AD30)</f>
        <v>0</v>
      </c>
      <c r="AE34" s="2">
        <f>MAX(AE$5:AE30)</f>
        <v>0</v>
      </c>
      <c r="AF34" s="2">
        <f>MAX(AF$5:AF30)</f>
        <v>0</v>
      </c>
      <c r="AG34" s="2">
        <f>MAX(AG$5:AG30)</f>
        <v>0</v>
      </c>
      <c r="AH34" s="2">
        <f>MAX(AH$5:AH30)</f>
        <v>0</v>
      </c>
      <c r="AI34" s="2">
        <f>MAX(AI$5:AI30)</f>
        <v>0</v>
      </c>
      <c r="AJ34" s="2">
        <f>MAX(AJ$5:AJ30)</f>
        <v>0</v>
      </c>
      <c r="AK34" s="88">
        <f>MAX(AK$5:AK30)</f>
        <v>0</v>
      </c>
      <c r="AL34" s="84">
        <f>MAX(AL$5:AL30)</f>
        <v>0</v>
      </c>
      <c r="AM34" s="29">
        <f>MAX(AM$5:AM30)</f>
        <v>0</v>
      </c>
      <c r="AN34" s="72"/>
      <c r="AO34" s="18"/>
      <c r="AP34" s="18"/>
      <c r="AQ34" s="48" t="s">
        <v>46</v>
      </c>
      <c r="AR34" s="2">
        <f>AY32</f>
        <v>0</v>
      </c>
      <c r="AS34" s="2">
        <f>AZ32</f>
        <v>0</v>
      </c>
      <c r="AT34" s="29">
        <f>BA32</f>
        <v>0</v>
      </c>
      <c r="AU34" s="18"/>
      <c r="AV34" s="18"/>
      <c r="AW34" s="18"/>
      <c r="AX34" s="18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</row>
    <row r="35" spans="1:62" ht="8.25" customHeight="1">
      <c r="A35" s="74"/>
      <c r="B35" s="74"/>
      <c r="C35" s="74"/>
      <c r="D35" s="74"/>
      <c r="E35" s="74"/>
      <c r="F35" s="74"/>
      <c r="G35" s="18"/>
      <c r="H35" s="18"/>
      <c r="I35" s="18"/>
      <c r="J35" s="74"/>
      <c r="K35" s="75"/>
      <c r="L35" s="74"/>
      <c r="M35" s="74"/>
      <c r="N35" s="18"/>
      <c r="O35" s="18"/>
      <c r="P35" s="74"/>
      <c r="Q35" s="74"/>
      <c r="R35" s="18"/>
      <c r="S35" s="112" t="s">
        <v>66</v>
      </c>
      <c r="T35" s="2" t="e">
        <f>STDEV(T$5:T30)</f>
        <v>#DIV/0!</v>
      </c>
      <c r="U35" s="2" t="e">
        <f>STDEV(U$5:U30)</f>
        <v>#DIV/0!</v>
      </c>
      <c r="V35" s="2" t="e">
        <f>STDEV(V$5:V30)</f>
        <v>#DIV/0!</v>
      </c>
      <c r="W35" s="2" t="e">
        <f>STDEV(W$5:W30)</f>
        <v>#DIV/0!</v>
      </c>
      <c r="X35" s="2" t="e">
        <f>STDEV(X$5:X30)</f>
        <v>#DIV/0!</v>
      </c>
      <c r="Y35" s="2" t="e">
        <f>STDEV(Y$5:Y30)</f>
        <v>#DIV/0!</v>
      </c>
      <c r="Z35" s="2" t="e">
        <f>STDEV(Z$5:Z30)</f>
        <v>#DIV/0!</v>
      </c>
      <c r="AA35" s="2" t="e">
        <f>STDEV(AA$5:AA30)</f>
        <v>#DIV/0!</v>
      </c>
      <c r="AB35" s="2" t="e">
        <f>STDEV(AB$5:AB30)</f>
        <v>#DIV/0!</v>
      </c>
      <c r="AC35" s="2" t="e">
        <f>STDEV(AC$5:AC30)</f>
        <v>#DIV/0!</v>
      </c>
      <c r="AD35" s="2" t="e">
        <f>STDEV(AD$5:AD30)</f>
        <v>#DIV/0!</v>
      </c>
      <c r="AE35" s="2" t="e">
        <f>STDEV(AE$5:AE30)</f>
        <v>#DIV/0!</v>
      </c>
      <c r="AF35" s="2" t="e">
        <f>STDEV(AF$5:AF30)</f>
        <v>#DIV/0!</v>
      </c>
      <c r="AG35" s="2" t="e">
        <f>STDEV(AG$5:AG30)</f>
        <v>#DIV/0!</v>
      </c>
      <c r="AH35" s="2" t="e">
        <f>STDEV(AH$5:AH30)</f>
        <v>#DIV/0!</v>
      </c>
      <c r="AI35" s="2" t="e">
        <f>STDEV(AI$5:AI30)</f>
        <v>#DIV/0!</v>
      </c>
      <c r="AJ35" s="2" t="e">
        <f>STDEV(AJ$5:AJ30)</f>
        <v>#DIV/0!</v>
      </c>
      <c r="AK35" s="88" t="e">
        <f>STDEV(AK$5:AK30)</f>
        <v>#DIV/0!</v>
      </c>
      <c r="AL35" s="84" t="e">
        <f>STDEV(AL$5:AL30)</f>
        <v>#DIV/0!</v>
      </c>
      <c r="AM35" s="29" t="e">
        <f>STDEV(AM$5:AM30)</f>
        <v>#DIV/0!</v>
      </c>
      <c r="AN35" s="72"/>
      <c r="AO35" s="18"/>
      <c r="AP35" s="18"/>
      <c r="AQ35" s="48" t="s">
        <v>49</v>
      </c>
      <c r="AR35" s="2">
        <f>BB32</f>
        <v>0</v>
      </c>
      <c r="AS35" s="2">
        <f>BC32</f>
        <v>0</v>
      </c>
      <c r="AT35" s="29">
        <f>BD32</f>
        <v>0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1:62" ht="9" customHeight="1" thickBot="1">
      <c r="A36" s="74"/>
      <c r="B36" s="74"/>
      <c r="C36" s="74"/>
      <c r="D36" s="74"/>
      <c r="E36" s="74"/>
      <c r="F36" s="74"/>
      <c r="G36" s="18"/>
      <c r="H36" s="18"/>
      <c r="I36" s="18"/>
      <c r="J36" s="74"/>
      <c r="K36" s="75"/>
      <c r="L36" s="74"/>
      <c r="M36" s="74"/>
      <c r="N36" s="18"/>
      <c r="O36" s="18"/>
      <c r="P36" s="74"/>
      <c r="Q36" s="74"/>
      <c r="R36" s="18"/>
      <c r="S36" s="113" t="s">
        <v>67</v>
      </c>
      <c r="T36" s="89" t="e">
        <f t="shared" ref="T36:Y36" si="7">IF(T32+(3*T35)&gt;100,100,T32+(3*T35))</f>
        <v>#DIV/0!</v>
      </c>
      <c r="U36" s="89" t="e">
        <f t="shared" si="7"/>
        <v>#DIV/0!</v>
      </c>
      <c r="V36" s="89" t="e">
        <f t="shared" si="7"/>
        <v>#DIV/0!</v>
      </c>
      <c r="W36" s="89" t="e">
        <f t="shared" si="7"/>
        <v>#DIV/0!</v>
      </c>
      <c r="X36" s="89" t="e">
        <f>IF(X32+(3*X35)&gt;100,100,X32+(3*X35))</f>
        <v>#DIV/0!</v>
      </c>
      <c r="Y36" s="89" t="e">
        <f t="shared" si="7"/>
        <v>#DIV/0!</v>
      </c>
      <c r="Z36" s="89" t="e">
        <f t="shared" ref="Z36:AK36" si="8">IF(Z32+(3*Z35)&gt;100,100,Z32+(3*Z35))</f>
        <v>#DIV/0!</v>
      </c>
      <c r="AA36" s="89" t="e">
        <f t="shared" si="8"/>
        <v>#DIV/0!</v>
      </c>
      <c r="AB36" s="89" t="e">
        <f t="shared" si="8"/>
        <v>#DIV/0!</v>
      </c>
      <c r="AC36" s="89" t="e">
        <f t="shared" si="8"/>
        <v>#DIV/0!</v>
      </c>
      <c r="AD36" s="89" t="e">
        <f t="shared" si="8"/>
        <v>#DIV/0!</v>
      </c>
      <c r="AE36" s="89" t="e">
        <f t="shared" si="8"/>
        <v>#DIV/0!</v>
      </c>
      <c r="AF36" s="89" t="e">
        <f t="shared" si="8"/>
        <v>#DIV/0!</v>
      </c>
      <c r="AG36" s="89" t="e">
        <f t="shared" si="8"/>
        <v>#DIV/0!</v>
      </c>
      <c r="AH36" s="89" t="e">
        <f t="shared" si="8"/>
        <v>#DIV/0!</v>
      </c>
      <c r="AI36" s="89" t="e">
        <f t="shared" si="8"/>
        <v>#DIV/0!</v>
      </c>
      <c r="AJ36" s="89" t="e">
        <f t="shared" si="8"/>
        <v>#DIV/0!</v>
      </c>
      <c r="AK36" s="90" t="e">
        <f t="shared" si="8"/>
        <v>#DIV/0!</v>
      </c>
      <c r="AL36" s="85" t="e">
        <f>IF(AL32+(3*AL35)&gt;100,100,AL32+(3*AL35))</f>
        <v>#DIV/0!</v>
      </c>
      <c r="AM36" s="49" t="e">
        <f>IF(AM32+(3*AM35)&gt;100,100,AM32+(3*AM35))</f>
        <v>#DIV/0!</v>
      </c>
      <c r="AN36" s="72"/>
      <c r="AO36" s="18"/>
      <c r="AP36" s="18"/>
      <c r="AQ36" s="48" t="s">
        <v>52</v>
      </c>
      <c r="AR36" s="2">
        <f>BE32</f>
        <v>0</v>
      </c>
      <c r="AS36" s="2">
        <f>BF32</f>
        <v>0</v>
      </c>
      <c r="AT36" s="29">
        <f>BG32</f>
        <v>0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1:62" ht="9" customHeight="1" thickBot="1">
      <c r="A37" s="74"/>
      <c r="B37" s="74"/>
      <c r="C37" s="74"/>
      <c r="D37" s="74"/>
      <c r="E37" s="74"/>
      <c r="F37" s="74"/>
      <c r="G37" s="18"/>
      <c r="H37" s="18"/>
      <c r="I37" s="18"/>
      <c r="J37" s="74"/>
      <c r="K37" s="75"/>
      <c r="L37" s="74"/>
      <c r="M37" s="74"/>
      <c r="N37" s="18"/>
      <c r="O37" s="18"/>
      <c r="P37" s="74"/>
      <c r="Q37" s="74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72"/>
      <c r="AJ37" s="18"/>
      <c r="AK37" s="18"/>
      <c r="AL37" s="18"/>
      <c r="AM37" s="18"/>
      <c r="AN37" s="18"/>
      <c r="AO37" s="18"/>
      <c r="AP37" s="18"/>
      <c r="AQ37" s="50" t="s">
        <v>58</v>
      </c>
      <c r="AR37" s="32">
        <f>BH32</f>
        <v>0</v>
      </c>
      <c r="AS37" s="32">
        <f>BI32</f>
        <v>0</v>
      </c>
      <c r="AT37" s="49">
        <f>BJ32</f>
        <v>0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 t="str">
        <f>IF(AND($AQ37="HAST",NOT(ISBLANK($AU37))),$AW37*$AS37,"")</f>
        <v/>
      </c>
      <c r="BI37" s="18" t="str">
        <f>IF(AND($AQ37="HAST",NOT(ISBLANK($AU37))),$AW37,"")</f>
        <v/>
      </c>
      <c r="BJ37" s="18" t="str">
        <f>IF(AND($AQ37="HAST",NOT(ISBLANK($AU37))),$AU37,"")</f>
        <v/>
      </c>
    </row>
    <row r="38" spans="1:62" ht="8.25" customHeight="1">
      <c r="S38" s="18" t="s">
        <v>69</v>
      </c>
      <c r="T38" s="73"/>
      <c r="U38" s="73"/>
    </row>
    <row r="39" spans="1:62" ht="8.25" customHeight="1">
      <c r="S39" s="18"/>
      <c r="T39" s="73" t="s">
        <v>70</v>
      </c>
      <c r="U39" s="73"/>
    </row>
    <row r="40" spans="1:62" ht="8.25" customHeight="1">
      <c r="S40" s="18"/>
      <c r="T40" s="73" t="s">
        <v>71</v>
      </c>
      <c r="U40" s="73"/>
    </row>
    <row r="41" spans="1:62" ht="8.25" customHeight="1">
      <c r="S41" s="18"/>
      <c r="T41" s="73" t="s">
        <v>72</v>
      </c>
      <c r="U41" s="73"/>
    </row>
    <row r="42" spans="1:62" ht="8.25" customHeight="1">
      <c r="S42" s="18"/>
      <c r="T42" s="73" t="s">
        <v>73</v>
      </c>
      <c r="U42" s="73"/>
    </row>
    <row r="43" spans="1:62" ht="8.25" customHeight="1">
      <c r="S43" s="18"/>
      <c r="T43" s="73" t="s">
        <v>74</v>
      </c>
      <c r="U43" s="73"/>
    </row>
  </sheetData>
  <mergeCells count="39">
    <mergeCell ref="AD1:AM2"/>
    <mergeCell ref="AN1:AP2"/>
    <mergeCell ref="M34:O34"/>
    <mergeCell ref="AP3:AP4"/>
    <mergeCell ref="AQ3:AQ4"/>
    <mergeCell ref="AQ1:AW2"/>
    <mergeCell ref="AW3:AW4"/>
    <mergeCell ref="M31:O31"/>
    <mergeCell ref="M32:O32"/>
    <mergeCell ref="M33:O33"/>
    <mergeCell ref="AD3:AE3"/>
    <mergeCell ref="AF3:AG3"/>
    <mergeCell ref="AH3:AI3"/>
    <mergeCell ref="AJ3:AK3"/>
    <mergeCell ref="AL3:AM3"/>
    <mergeCell ref="AO3:AO4"/>
    <mergeCell ref="X3:Y3"/>
    <mergeCell ref="Z3:AA3"/>
    <mergeCell ref="AB3:AC3"/>
    <mergeCell ref="O3:O4"/>
    <mergeCell ref="P3:P4"/>
    <mergeCell ref="R1:R4"/>
    <mergeCell ref="S1:S4"/>
    <mergeCell ref="T1:AC2"/>
    <mergeCell ref="Q3:Q4"/>
    <mergeCell ref="T3:U3"/>
    <mergeCell ref="V3:W3"/>
    <mergeCell ref="F3:F4"/>
    <mergeCell ref="G3:I3"/>
    <mergeCell ref="A1:D2"/>
    <mergeCell ref="E1:F2"/>
    <mergeCell ref="G1:Q2"/>
    <mergeCell ref="A3:A4"/>
    <mergeCell ref="B3:B4"/>
    <mergeCell ref="C3:C4"/>
    <mergeCell ref="D3:D4"/>
    <mergeCell ref="E3:E4"/>
    <mergeCell ref="J3:L3"/>
    <mergeCell ref="N3:N4"/>
  </mergeCells>
  <conditionalFormatting sqref="AU19:AV29">
    <cfRule type="cellIs" dxfId="90" priority="2" stopIfTrue="1" operator="equal">
      <formula>"ONGOING"</formula>
    </cfRule>
  </conditionalFormatting>
  <pageMargins left="0.7" right="0.7" top="0.75" bottom="0.75" header="0.3" footer="0.3"/>
  <pageSetup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2"/>
  <sheetViews>
    <sheetView showGridLines="0" zoomScale="140" zoomScaleNormal="140" workbookViewId="0">
      <pane xSplit="5" ySplit="4" topLeftCell="Y5" activePane="bottomRight" state="frozen"/>
      <selection activeCell="AP22" sqref="AP22"/>
      <selection pane="topRight" activeCell="AP22" sqref="AP22"/>
      <selection pane="bottomLeft" activeCell="AP22" sqref="AP22"/>
      <selection pane="bottomRight" activeCell="AY21" sqref="AY21"/>
    </sheetView>
  </sheetViews>
  <sheetFormatPr defaultColWidth="14.453125" defaultRowHeight="15" customHeight="1"/>
  <cols>
    <col min="1" max="1" width="5.26953125" style="30" customWidth="1"/>
    <col min="2" max="2" width="3.26953125" style="30" customWidth="1"/>
    <col min="3" max="3" width="6" style="30" customWidth="1"/>
    <col min="4" max="5" width="4" style="30" customWidth="1"/>
    <col min="6" max="6" width="3.54296875" style="30" customWidth="1"/>
    <col min="7" max="7" width="1.54296875" style="30" customWidth="1"/>
    <col min="8" max="8" width="3.453125" style="30" customWidth="1"/>
    <col min="9" max="9" width="3.26953125" style="30" customWidth="1"/>
    <col min="10" max="10" width="1.54296875" style="30" customWidth="1"/>
    <col min="11" max="12" width="3.453125" style="30" customWidth="1"/>
    <col min="13" max="13" width="1.54296875" style="30" customWidth="1"/>
    <col min="14" max="14" width="2.81640625" style="30" customWidth="1"/>
    <col min="15" max="15" width="5.1796875" style="30" customWidth="1"/>
    <col min="16" max="16" width="8.54296875" style="30" bestFit="1" customWidth="1"/>
    <col min="17" max="17" width="4.453125" style="30" customWidth="1"/>
    <col min="18" max="18" width="3.1796875" style="30" customWidth="1"/>
    <col min="19" max="19" width="8.54296875" style="30" customWidth="1"/>
    <col min="20" max="20" width="7.81640625" style="30" customWidth="1"/>
    <col min="21" max="21" width="2.54296875" style="30" customWidth="1"/>
    <col min="22" max="22" width="8.7265625" style="30" customWidth="1"/>
    <col min="23" max="23" width="11" style="30" customWidth="1"/>
    <col min="24" max="24" width="7.54296875" style="30" customWidth="1"/>
    <col min="25" max="46" width="2.7265625" style="30" customWidth="1"/>
    <col min="47" max="47" width="5.54296875" style="30" customWidth="1"/>
    <col min="48" max="48" width="5" style="30" customWidth="1"/>
    <col min="49" max="49" width="7.54296875" style="30" customWidth="1"/>
    <col min="50" max="51" width="4.54296875" style="30" customWidth="1"/>
    <col min="52" max="52" width="2.7265625" style="30" customWidth="1"/>
    <col min="53" max="53" width="3" style="30" customWidth="1"/>
    <col min="54" max="54" width="1.26953125" style="30" customWidth="1"/>
    <col min="55" max="55" width="6.54296875" style="30" customWidth="1"/>
    <col min="56" max="56" width="3.7265625" style="30" customWidth="1"/>
    <col min="57" max="57" width="5.54296875" style="30" customWidth="1"/>
    <col min="58" max="60" width="2.81640625" style="30" hidden="1" customWidth="1"/>
    <col min="61" max="61" width="6.54296875" style="30" customWidth="1"/>
    <col min="62" max="62" width="4.26953125" style="30" customWidth="1"/>
    <col min="63" max="63" width="5.7265625" style="30" customWidth="1"/>
    <col min="64" max="64" width="6.7265625" style="30" customWidth="1"/>
    <col min="65" max="65" width="4.26953125" style="30" customWidth="1"/>
    <col min="66" max="66" width="6" style="30" customWidth="1"/>
    <col min="67" max="76" width="9.1796875" style="30" customWidth="1"/>
    <col min="77" max="16384" width="14.453125" style="30"/>
  </cols>
  <sheetData>
    <row r="1" spans="1:66" ht="10.5" customHeight="1">
      <c r="A1" s="322" t="s">
        <v>0</v>
      </c>
      <c r="B1" s="360"/>
      <c r="C1" s="361"/>
      <c r="D1" s="324" t="s">
        <v>1</v>
      </c>
      <c r="E1" s="365"/>
      <c r="F1" s="396" t="s">
        <v>2</v>
      </c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28" t="s">
        <v>3</v>
      </c>
      <c r="X1" s="331" t="s">
        <v>4</v>
      </c>
      <c r="Y1" s="334" t="s">
        <v>5</v>
      </c>
      <c r="Z1" s="360"/>
      <c r="AA1" s="360"/>
      <c r="AB1" s="360"/>
      <c r="AC1" s="360"/>
      <c r="AD1" s="360"/>
      <c r="AE1" s="360"/>
      <c r="AF1" s="360"/>
      <c r="AG1" s="360"/>
      <c r="AH1" s="365"/>
      <c r="AI1" s="331" t="s">
        <v>6</v>
      </c>
      <c r="AJ1" s="360"/>
      <c r="AK1" s="360"/>
      <c r="AL1" s="360"/>
      <c r="AM1" s="360"/>
      <c r="AN1" s="360"/>
      <c r="AO1" s="360"/>
      <c r="AP1" s="360"/>
      <c r="AQ1" s="360"/>
      <c r="AR1" s="361"/>
      <c r="AS1" s="302" t="s">
        <v>7</v>
      </c>
      <c r="AT1" s="360"/>
      <c r="AU1" s="365"/>
      <c r="AV1" s="306" t="s">
        <v>8</v>
      </c>
      <c r="AW1" s="360"/>
      <c r="AX1" s="360"/>
      <c r="AY1" s="360"/>
      <c r="AZ1" s="360"/>
      <c r="BA1" s="3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</row>
    <row r="2" spans="1:66" ht="10.5" customHeight="1">
      <c r="A2" s="395"/>
      <c r="B2" s="363"/>
      <c r="C2" s="364"/>
      <c r="D2" s="366"/>
      <c r="E2" s="367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77"/>
      <c r="X2" s="368"/>
      <c r="Y2" s="366"/>
      <c r="Z2" s="363"/>
      <c r="AA2" s="363"/>
      <c r="AB2" s="363"/>
      <c r="AC2" s="363"/>
      <c r="AD2" s="363"/>
      <c r="AE2" s="363"/>
      <c r="AF2" s="363"/>
      <c r="AG2" s="363"/>
      <c r="AH2" s="367"/>
      <c r="AI2" s="363"/>
      <c r="AJ2" s="363"/>
      <c r="AK2" s="363"/>
      <c r="AL2" s="363"/>
      <c r="AM2" s="363"/>
      <c r="AN2" s="363"/>
      <c r="AO2" s="363"/>
      <c r="AP2" s="363"/>
      <c r="AQ2" s="363"/>
      <c r="AR2" s="364"/>
      <c r="AS2" s="366"/>
      <c r="AT2" s="363"/>
      <c r="AU2" s="367"/>
      <c r="AV2" s="363"/>
      <c r="AW2" s="363"/>
      <c r="AX2" s="363"/>
      <c r="AY2" s="363"/>
      <c r="AZ2" s="363"/>
      <c r="BA2" s="372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</row>
    <row r="3" spans="1:66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58" t="s">
        <v>12</v>
      </c>
      <c r="F3" s="394" t="s">
        <v>13</v>
      </c>
      <c r="G3" s="384"/>
      <c r="H3" s="374"/>
      <c r="I3" s="321" t="s">
        <v>14</v>
      </c>
      <c r="J3" s="384"/>
      <c r="K3" s="374"/>
      <c r="L3" s="321" t="s">
        <v>15</v>
      </c>
      <c r="M3" s="384"/>
      <c r="N3" s="374"/>
      <c r="O3" s="389" t="s">
        <v>16</v>
      </c>
      <c r="P3" s="311" t="s">
        <v>17</v>
      </c>
      <c r="Q3" s="250" t="s">
        <v>18</v>
      </c>
      <c r="R3" s="389" t="s">
        <v>19</v>
      </c>
      <c r="S3" s="389" t="s">
        <v>20</v>
      </c>
      <c r="T3" s="389" t="s">
        <v>21</v>
      </c>
      <c r="U3" s="311" t="s">
        <v>22</v>
      </c>
      <c r="V3" s="317" t="s">
        <v>23</v>
      </c>
      <c r="W3" s="377"/>
      <c r="X3" s="368"/>
      <c r="Y3" s="339" t="s">
        <v>24</v>
      </c>
      <c r="Z3" s="374"/>
      <c r="AA3" s="338" t="s">
        <v>25</v>
      </c>
      <c r="AB3" s="374"/>
      <c r="AC3" s="338" t="s">
        <v>26</v>
      </c>
      <c r="AD3" s="374"/>
      <c r="AE3" s="338" t="s">
        <v>27</v>
      </c>
      <c r="AF3" s="374"/>
      <c r="AG3" s="338" t="s">
        <v>28</v>
      </c>
      <c r="AH3" s="397"/>
      <c r="AI3" s="398" t="s">
        <v>24</v>
      </c>
      <c r="AJ3" s="374"/>
      <c r="AK3" s="338" t="s">
        <v>25</v>
      </c>
      <c r="AL3" s="374"/>
      <c r="AM3" s="338" t="s">
        <v>26</v>
      </c>
      <c r="AN3" s="374"/>
      <c r="AO3" s="338" t="s">
        <v>27</v>
      </c>
      <c r="AP3" s="374"/>
      <c r="AQ3" s="338" t="s">
        <v>28</v>
      </c>
      <c r="AR3" s="374"/>
      <c r="AS3" s="19" t="s">
        <v>29</v>
      </c>
      <c r="AT3" s="349" t="s">
        <v>30</v>
      </c>
      <c r="AU3" s="350" t="s">
        <v>31</v>
      </c>
      <c r="AV3" s="345" t="s">
        <v>32</v>
      </c>
      <c r="AW3" s="20" t="s">
        <v>33</v>
      </c>
      <c r="AX3" s="20" t="s">
        <v>34</v>
      </c>
      <c r="AY3" s="20" t="s">
        <v>35</v>
      </c>
      <c r="AZ3" s="20" t="s">
        <v>29</v>
      </c>
      <c r="BA3" s="347" t="s">
        <v>30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</row>
    <row r="4" spans="1:66" ht="10.5" customHeight="1">
      <c r="A4" s="387"/>
      <c r="B4" s="375"/>
      <c r="C4" s="383"/>
      <c r="D4" s="393"/>
      <c r="E4" s="369"/>
      <c r="F4" s="98" t="s">
        <v>36</v>
      </c>
      <c r="G4" s="21" t="s">
        <v>37</v>
      </c>
      <c r="H4" s="22" t="s">
        <v>36</v>
      </c>
      <c r="I4" s="22" t="s">
        <v>36</v>
      </c>
      <c r="J4" s="21" t="s">
        <v>37</v>
      </c>
      <c r="K4" s="22" t="s">
        <v>36</v>
      </c>
      <c r="L4" s="390" t="s">
        <v>38</v>
      </c>
      <c r="M4" s="391"/>
      <c r="N4" s="392"/>
      <c r="O4" s="375"/>
      <c r="P4" s="375"/>
      <c r="Q4" s="54" t="s">
        <v>39</v>
      </c>
      <c r="R4" s="375"/>
      <c r="S4" s="375"/>
      <c r="T4" s="375"/>
      <c r="U4" s="375"/>
      <c r="V4" s="383"/>
      <c r="W4" s="378"/>
      <c r="X4" s="379"/>
      <c r="Y4" s="24" t="s">
        <v>29</v>
      </c>
      <c r="Z4" s="25" t="s">
        <v>40</v>
      </c>
      <c r="AA4" s="21" t="s">
        <v>29</v>
      </c>
      <c r="AB4" s="25" t="s">
        <v>40</v>
      </c>
      <c r="AC4" s="2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99" t="s">
        <v>40</v>
      </c>
      <c r="AI4" s="100" t="s">
        <v>29</v>
      </c>
      <c r="AJ4" s="25" t="s">
        <v>40</v>
      </c>
      <c r="AK4" s="21" t="s">
        <v>29</v>
      </c>
      <c r="AL4" s="25" t="s">
        <v>40</v>
      </c>
      <c r="AM4" s="21" t="s">
        <v>29</v>
      </c>
      <c r="AN4" s="25" t="s">
        <v>40</v>
      </c>
      <c r="AO4" s="21" t="s">
        <v>29</v>
      </c>
      <c r="AP4" s="25" t="s">
        <v>40</v>
      </c>
      <c r="AQ4" s="21" t="s">
        <v>29</v>
      </c>
      <c r="AR4" s="26" t="s">
        <v>40</v>
      </c>
      <c r="AS4" s="27" t="s">
        <v>41</v>
      </c>
      <c r="AT4" s="375"/>
      <c r="AU4" s="369"/>
      <c r="AV4" s="370"/>
      <c r="AW4" s="28" t="s">
        <v>42</v>
      </c>
      <c r="AX4" s="28" t="s">
        <v>43</v>
      </c>
      <c r="AY4" s="28" t="s">
        <v>44</v>
      </c>
      <c r="AZ4" s="28" t="s">
        <v>41</v>
      </c>
      <c r="BA4" s="373"/>
      <c r="BB4" s="71"/>
      <c r="BC4" s="73" t="s">
        <v>45</v>
      </c>
      <c r="BD4" s="73" t="s">
        <v>46</v>
      </c>
      <c r="BE4" s="73" t="s">
        <v>47</v>
      </c>
      <c r="BF4" s="73" t="s">
        <v>48</v>
      </c>
      <c r="BG4" s="73" t="s">
        <v>49</v>
      </c>
      <c r="BH4" s="73" t="s">
        <v>50</v>
      </c>
      <c r="BI4" s="73" t="s">
        <v>51</v>
      </c>
      <c r="BJ4" s="73" t="s">
        <v>52</v>
      </c>
      <c r="BK4" s="73" t="s">
        <v>53</v>
      </c>
      <c r="BL4" s="73" t="s">
        <v>54</v>
      </c>
      <c r="BM4" s="73" t="s">
        <v>55</v>
      </c>
      <c r="BN4" s="73" t="s">
        <v>56</v>
      </c>
    </row>
    <row r="5" spans="1:66" ht="8.25" customHeight="1">
      <c r="A5" s="122" t="s">
        <v>115</v>
      </c>
      <c r="B5" s="117">
        <v>20</v>
      </c>
      <c r="C5" s="125" t="s">
        <v>184</v>
      </c>
      <c r="D5" s="119">
        <v>2547</v>
      </c>
      <c r="E5" s="114" t="s">
        <v>85</v>
      </c>
      <c r="F5" s="115">
        <v>73</v>
      </c>
      <c r="G5" s="117" t="s">
        <v>147</v>
      </c>
      <c r="H5" s="116">
        <v>48</v>
      </c>
      <c r="I5" s="116">
        <v>98</v>
      </c>
      <c r="J5" s="117" t="s">
        <v>147</v>
      </c>
      <c r="K5" s="116">
        <v>98</v>
      </c>
      <c r="L5" s="134"/>
      <c r="M5" s="181" t="s">
        <v>116</v>
      </c>
      <c r="N5" s="182"/>
      <c r="O5" s="117" t="s">
        <v>117</v>
      </c>
      <c r="P5" s="132" t="s">
        <v>164</v>
      </c>
      <c r="Q5" s="180">
        <v>1</v>
      </c>
      <c r="R5" s="117" t="s">
        <v>89</v>
      </c>
      <c r="S5" s="117" t="s">
        <v>123</v>
      </c>
      <c r="T5" s="117" t="s">
        <v>124</v>
      </c>
      <c r="U5" s="116" t="s">
        <v>89</v>
      </c>
      <c r="V5" s="118" t="s">
        <v>119</v>
      </c>
      <c r="W5" s="123" t="s">
        <v>91</v>
      </c>
      <c r="X5" s="124" t="s">
        <v>92</v>
      </c>
      <c r="Y5" s="119" t="s">
        <v>57</v>
      </c>
      <c r="Z5" s="116" t="s">
        <v>57</v>
      </c>
      <c r="AA5" s="116" t="s">
        <v>57</v>
      </c>
      <c r="AB5" s="116" t="s">
        <v>57</v>
      </c>
      <c r="AC5" s="116" t="s">
        <v>57</v>
      </c>
      <c r="AD5" s="116" t="s">
        <v>57</v>
      </c>
      <c r="AE5" s="116" t="s">
        <v>57</v>
      </c>
      <c r="AF5" s="116" t="s">
        <v>57</v>
      </c>
      <c r="AG5" s="116" t="s">
        <v>57</v>
      </c>
      <c r="AH5" s="121" t="s">
        <v>57</v>
      </c>
      <c r="AI5" s="115" t="s">
        <v>57</v>
      </c>
      <c r="AJ5" s="116" t="s">
        <v>57</v>
      </c>
      <c r="AK5" s="116" t="s">
        <v>57</v>
      </c>
      <c r="AL5" s="117" t="s">
        <v>57</v>
      </c>
      <c r="AM5" s="116" t="s">
        <v>57</v>
      </c>
      <c r="AN5" s="116" t="s">
        <v>57</v>
      </c>
      <c r="AO5" s="116" t="s">
        <v>57</v>
      </c>
      <c r="AP5" s="116" t="s">
        <v>57</v>
      </c>
      <c r="AQ5" s="116" t="s">
        <v>57</v>
      </c>
      <c r="AR5" s="118" t="s">
        <v>57</v>
      </c>
      <c r="AS5" s="119" t="s">
        <v>57</v>
      </c>
      <c r="AT5" s="116" t="s">
        <v>57</v>
      </c>
      <c r="AU5" s="114" t="s">
        <v>155</v>
      </c>
      <c r="AV5" s="120"/>
      <c r="AW5" s="117"/>
      <c r="AX5" s="132"/>
      <c r="AY5" s="117"/>
      <c r="AZ5" s="132"/>
      <c r="BA5" s="133"/>
      <c r="BB5" s="18"/>
      <c r="BC5" s="18" t="str">
        <f t="shared" ref="BC5:BC29" si="0">IF(AND($AV5="TC",NOT(ISBLANK($AZ5))),$BA5*$AX5,"")</f>
        <v/>
      </c>
      <c r="BD5" s="18" t="str">
        <f t="shared" ref="BD5:BD29" si="1">IF(AND($AV5="TC",NOT(ISBLANK($AZ5))),$BA5,"")</f>
        <v/>
      </c>
      <c r="BE5" s="18" t="str">
        <f t="shared" ref="BE5:BE29" si="2">IF(AND($AV5="TC",NOT(ISBLANK($AZ5))),$AZ5,"")</f>
        <v/>
      </c>
      <c r="BF5" s="18"/>
      <c r="BG5" s="18"/>
      <c r="BH5" s="18"/>
      <c r="BI5" s="18" t="str">
        <f t="shared" ref="BI5:BI29" si="3">IF(AND($AV5="HTS",NOT(ISBLANK($AZ5))),$BA5*$AX5,"")</f>
        <v/>
      </c>
      <c r="BJ5" s="18" t="str">
        <f t="shared" ref="BJ5:BJ29" si="4">IF(AND($AV5="HTS",NOT(ISBLANK($AZ5))),$BA5,"")</f>
        <v/>
      </c>
      <c r="BK5" s="18" t="str">
        <f t="shared" ref="BK5:BK29" si="5">IF(AND($AV5="HTS",NOT(ISBLANK($AZ5))),$AZ5,"")</f>
        <v/>
      </c>
      <c r="BL5" s="18" t="str">
        <f t="shared" ref="BL5:BL29" si="6">IF(AND($AV5="HAST",NOT(ISBLANK($AZ5))),$BA5*$AX5,"")</f>
        <v/>
      </c>
      <c r="BM5" s="18" t="str">
        <f t="shared" ref="BM5:BM29" si="7">IF(AND($AV5="HAST",NOT(ISBLANK($AZ5))),$BA5,"")</f>
        <v/>
      </c>
      <c r="BN5" s="18" t="str">
        <f t="shared" ref="BN5:BN29" si="8">IF(AND($AV5="HAST",NOT(ISBLANK($AZ5))),$AZ5,"")</f>
        <v/>
      </c>
    </row>
    <row r="6" spans="1:66" ht="8.25" customHeight="1">
      <c r="A6" s="1"/>
      <c r="B6" s="2"/>
      <c r="C6" s="3"/>
      <c r="D6" s="11"/>
      <c r="E6" s="4"/>
      <c r="F6" s="102"/>
      <c r="G6" s="2"/>
      <c r="H6" s="12"/>
      <c r="I6" s="12"/>
      <c r="J6" s="2"/>
      <c r="K6" s="12"/>
      <c r="L6" s="251"/>
      <c r="M6" s="252"/>
      <c r="N6" s="218"/>
      <c r="O6" s="2"/>
      <c r="P6" s="95"/>
      <c r="Q6" s="126"/>
      <c r="R6" s="2"/>
      <c r="S6" s="2"/>
      <c r="T6" s="2"/>
      <c r="U6" s="12"/>
      <c r="V6" s="13"/>
      <c r="W6" s="9"/>
      <c r="X6" s="10"/>
      <c r="Y6" s="11"/>
      <c r="Z6" s="12"/>
      <c r="AA6" s="12"/>
      <c r="AB6" s="12"/>
      <c r="AC6" s="12"/>
      <c r="AD6" s="12"/>
      <c r="AE6" s="12"/>
      <c r="AF6" s="12"/>
      <c r="AG6" s="12"/>
      <c r="AH6" s="103"/>
      <c r="AI6" s="102"/>
      <c r="AJ6" s="12"/>
      <c r="AK6" s="12"/>
      <c r="AL6" s="2"/>
      <c r="AM6" s="12"/>
      <c r="AN6" s="12"/>
      <c r="AO6" s="12"/>
      <c r="AP6" s="12"/>
      <c r="AQ6" s="12"/>
      <c r="AR6" s="13"/>
      <c r="AS6" s="11"/>
      <c r="AT6" s="12"/>
      <c r="AU6" s="4"/>
      <c r="AV6" s="14"/>
      <c r="AW6" s="2"/>
      <c r="AX6" s="95"/>
      <c r="AY6" s="2"/>
      <c r="AZ6" s="95"/>
      <c r="BA6" s="104"/>
      <c r="BB6" s="18"/>
      <c r="BC6" s="18" t="str">
        <f t="shared" si="0"/>
        <v/>
      </c>
      <c r="BD6" s="18" t="str">
        <f t="shared" si="1"/>
        <v/>
      </c>
      <c r="BE6" s="18" t="str">
        <f t="shared" si="2"/>
        <v/>
      </c>
      <c r="BF6" s="18"/>
      <c r="BG6" s="18"/>
      <c r="BH6" s="18"/>
      <c r="BI6" s="18" t="str">
        <f t="shared" si="3"/>
        <v/>
      </c>
      <c r="BJ6" s="18" t="str">
        <f t="shared" si="4"/>
        <v/>
      </c>
      <c r="BK6" s="18" t="str">
        <f t="shared" si="5"/>
        <v/>
      </c>
      <c r="BL6" s="18" t="str">
        <f t="shared" si="6"/>
        <v/>
      </c>
      <c r="BM6" s="18" t="str">
        <f t="shared" si="7"/>
        <v/>
      </c>
      <c r="BN6" s="18" t="str">
        <f t="shared" si="8"/>
        <v/>
      </c>
    </row>
    <row r="7" spans="1:66" ht="8.25" customHeight="1">
      <c r="A7" s="1" t="s">
        <v>115</v>
      </c>
      <c r="B7" s="2">
        <v>24</v>
      </c>
      <c r="C7" s="3" t="s">
        <v>201</v>
      </c>
      <c r="D7" s="11">
        <v>2530</v>
      </c>
      <c r="E7" s="4" t="s">
        <v>85</v>
      </c>
      <c r="F7" s="102">
        <v>100</v>
      </c>
      <c r="G7" s="2" t="s">
        <v>147</v>
      </c>
      <c r="H7" s="12">
        <v>100</v>
      </c>
      <c r="I7" s="12">
        <v>110</v>
      </c>
      <c r="J7" s="2" t="s">
        <v>147</v>
      </c>
      <c r="K7" s="12">
        <v>110</v>
      </c>
      <c r="L7" s="251"/>
      <c r="M7" s="252" t="s">
        <v>125</v>
      </c>
      <c r="N7" s="218"/>
      <c r="O7" s="2" t="s">
        <v>117</v>
      </c>
      <c r="P7" s="95" t="s">
        <v>202</v>
      </c>
      <c r="Q7" s="126">
        <v>1</v>
      </c>
      <c r="R7" s="2" t="s">
        <v>89</v>
      </c>
      <c r="S7" s="2" t="s">
        <v>203</v>
      </c>
      <c r="T7" s="2" t="s">
        <v>124</v>
      </c>
      <c r="U7" s="12" t="s">
        <v>89</v>
      </c>
      <c r="V7" s="13" t="s">
        <v>119</v>
      </c>
      <c r="W7" s="9" t="s">
        <v>91</v>
      </c>
      <c r="X7" s="10" t="s">
        <v>92</v>
      </c>
      <c r="Y7" s="119">
        <v>0</v>
      </c>
      <c r="Z7" s="116">
        <v>0</v>
      </c>
      <c r="AA7" s="116">
        <v>0</v>
      </c>
      <c r="AB7" s="116">
        <v>0</v>
      </c>
      <c r="AC7" s="116">
        <v>0</v>
      </c>
      <c r="AD7" s="116">
        <v>0</v>
      </c>
      <c r="AE7" s="116" t="s">
        <v>57</v>
      </c>
      <c r="AF7" s="116" t="s">
        <v>57</v>
      </c>
      <c r="AG7" s="116">
        <v>6</v>
      </c>
      <c r="AH7" s="121">
        <v>30</v>
      </c>
      <c r="AI7" s="115">
        <v>0</v>
      </c>
      <c r="AJ7" s="116">
        <v>0</v>
      </c>
      <c r="AK7" s="116">
        <v>0</v>
      </c>
      <c r="AL7" s="117">
        <v>0</v>
      </c>
      <c r="AM7" s="116">
        <v>0</v>
      </c>
      <c r="AN7" s="116">
        <v>0</v>
      </c>
      <c r="AO7" s="116" t="s">
        <v>57</v>
      </c>
      <c r="AP7" s="116" t="s">
        <v>57</v>
      </c>
      <c r="AQ7" s="116">
        <v>6</v>
      </c>
      <c r="AR7" s="118">
        <v>50</v>
      </c>
      <c r="AS7" s="119">
        <v>0</v>
      </c>
      <c r="AT7" s="116">
        <v>22</v>
      </c>
      <c r="AU7" s="114" t="s">
        <v>93</v>
      </c>
      <c r="AV7" s="120" t="s">
        <v>52</v>
      </c>
      <c r="AW7" s="117" t="s">
        <v>99</v>
      </c>
      <c r="AX7" s="132">
        <v>1000</v>
      </c>
      <c r="AY7" s="117" t="s">
        <v>100</v>
      </c>
      <c r="AZ7" s="132">
        <v>0</v>
      </c>
      <c r="BA7" s="133">
        <v>22</v>
      </c>
      <c r="BB7" s="18"/>
      <c r="BC7" s="18" t="str">
        <f t="shared" si="0"/>
        <v/>
      </c>
      <c r="BD7" s="18" t="str">
        <f t="shared" si="1"/>
        <v/>
      </c>
      <c r="BE7" s="18" t="str">
        <f t="shared" si="2"/>
        <v/>
      </c>
      <c r="BF7" s="18"/>
      <c r="BG7" s="18"/>
      <c r="BH7" s="18"/>
      <c r="BI7" s="18">
        <f t="shared" si="3"/>
        <v>22000</v>
      </c>
      <c r="BJ7" s="18">
        <f t="shared" si="4"/>
        <v>22</v>
      </c>
      <c r="BK7" s="18">
        <f t="shared" si="5"/>
        <v>0</v>
      </c>
      <c r="BL7" s="18" t="str">
        <f t="shared" si="6"/>
        <v/>
      </c>
      <c r="BM7" s="18" t="str">
        <f t="shared" si="7"/>
        <v/>
      </c>
      <c r="BN7" s="18" t="str">
        <f t="shared" si="8"/>
        <v/>
      </c>
    </row>
    <row r="8" spans="1:66" ht="8.25" customHeight="1">
      <c r="A8" s="1" t="s">
        <v>115</v>
      </c>
      <c r="B8" s="2">
        <v>24</v>
      </c>
      <c r="C8" s="3" t="s">
        <v>201</v>
      </c>
      <c r="D8" s="11">
        <v>2534</v>
      </c>
      <c r="E8" s="4" t="s">
        <v>85</v>
      </c>
      <c r="F8" s="102">
        <v>100</v>
      </c>
      <c r="G8" s="2" t="s">
        <v>147</v>
      </c>
      <c r="H8" s="12">
        <v>100</v>
      </c>
      <c r="I8" s="12">
        <v>110</v>
      </c>
      <c r="J8" s="2" t="s">
        <v>147</v>
      </c>
      <c r="K8" s="12">
        <v>110</v>
      </c>
      <c r="L8" s="251"/>
      <c r="M8" s="252" t="s">
        <v>125</v>
      </c>
      <c r="N8" s="218"/>
      <c r="O8" s="2" t="s">
        <v>117</v>
      </c>
      <c r="P8" s="95" t="s">
        <v>202</v>
      </c>
      <c r="Q8" s="126">
        <v>1</v>
      </c>
      <c r="R8" s="2" t="s">
        <v>89</v>
      </c>
      <c r="S8" s="2" t="s">
        <v>203</v>
      </c>
      <c r="T8" s="2" t="s">
        <v>124</v>
      </c>
      <c r="U8" s="12" t="s">
        <v>89</v>
      </c>
      <c r="V8" s="13" t="s">
        <v>119</v>
      </c>
      <c r="W8" s="9" t="s">
        <v>91</v>
      </c>
      <c r="X8" s="10" t="s">
        <v>92</v>
      </c>
      <c r="Y8" s="119">
        <v>0</v>
      </c>
      <c r="Z8" s="116">
        <v>0</v>
      </c>
      <c r="AA8" s="116">
        <v>0</v>
      </c>
      <c r="AB8" s="116">
        <v>0</v>
      </c>
      <c r="AC8" s="116">
        <v>0</v>
      </c>
      <c r="AD8" s="116">
        <v>0</v>
      </c>
      <c r="AE8" s="116" t="s">
        <v>57</v>
      </c>
      <c r="AF8" s="116" t="s">
        <v>57</v>
      </c>
      <c r="AG8" s="116">
        <v>3</v>
      </c>
      <c r="AH8" s="121">
        <v>50</v>
      </c>
      <c r="AI8" s="115">
        <v>0</v>
      </c>
      <c r="AJ8" s="116">
        <v>0</v>
      </c>
      <c r="AK8" s="116">
        <v>0</v>
      </c>
      <c r="AL8" s="117">
        <v>0</v>
      </c>
      <c r="AM8" s="116">
        <v>0</v>
      </c>
      <c r="AN8" s="116">
        <v>0</v>
      </c>
      <c r="AO8" s="116" t="s">
        <v>57</v>
      </c>
      <c r="AP8" s="116" t="s">
        <v>57</v>
      </c>
      <c r="AQ8" s="116">
        <v>12</v>
      </c>
      <c r="AR8" s="118">
        <v>70</v>
      </c>
      <c r="AS8" s="119">
        <v>0</v>
      </c>
      <c r="AT8" s="116">
        <v>22</v>
      </c>
      <c r="AU8" s="114" t="s">
        <v>93</v>
      </c>
      <c r="AV8" s="120" t="s">
        <v>94</v>
      </c>
      <c r="AW8" s="117" t="s">
        <v>122</v>
      </c>
      <c r="AX8" s="132">
        <v>500</v>
      </c>
      <c r="AY8" s="117" t="s">
        <v>96</v>
      </c>
      <c r="AZ8" s="132">
        <v>0</v>
      </c>
      <c r="BA8" s="133">
        <v>22</v>
      </c>
      <c r="BB8" s="18"/>
      <c r="BC8" s="18">
        <f t="shared" si="0"/>
        <v>11000</v>
      </c>
      <c r="BD8" s="18">
        <f t="shared" si="1"/>
        <v>22</v>
      </c>
      <c r="BE8" s="18">
        <f t="shared" si="2"/>
        <v>0</v>
      </c>
      <c r="BF8" s="18"/>
      <c r="BG8" s="18"/>
      <c r="BH8" s="18"/>
      <c r="BI8" s="18" t="str">
        <f t="shared" si="3"/>
        <v/>
      </c>
      <c r="BJ8" s="18" t="str">
        <f t="shared" si="4"/>
        <v/>
      </c>
      <c r="BK8" s="18" t="str">
        <f t="shared" si="5"/>
        <v/>
      </c>
      <c r="BL8" s="18" t="str">
        <f t="shared" si="6"/>
        <v/>
      </c>
      <c r="BM8" s="18" t="str">
        <f t="shared" si="7"/>
        <v/>
      </c>
      <c r="BN8" s="18" t="str">
        <f t="shared" si="8"/>
        <v/>
      </c>
    </row>
    <row r="9" spans="1:66" ht="8.25" customHeight="1">
      <c r="A9" s="1"/>
      <c r="B9" s="2"/>
      <c r="C9" s="3"/>
      <c r="D9" s="11"/>
      <c r="E9" s="4"/>
      <c r="F9" s="102"/>
      <c r="G9" s="2"/>
      <c r="H9" s="12"/>
      <c r="I9" s="12"/>
      <c r="J9" s="2"/>
      <c r="K9" s="12"/>
      <c r="L9" s="251"/>
      <c r="M9" s="252"/>
      <c r="N9" s="218"/>
      <c r="O9" s="2"/>
      <c r="P9" s="95"/>
      <c r="Q9" s="126"/>
      <c r="R9" s="2"/>
      <c r="S9" s="2"/>
      <c r="T9" s="2"/>
      <c r="U9" s="12"/>
      <c r="V9" s="13"/>
      <c r="W9" s="9"/>
      <c r="X9" s="10"/>
      <c r="Y9" s="11"/>
      <c r="Z9" s="12"/>
      <c r="AA9" s="12"/>
      <c r="AB9" s="12"/>
      <c r="AC9" s="12"/>
      <c r="AD9" s="12"/>
      <c r="AE9" s="12"/>
      <c r="AF9" s="12"/>
      <c r="AG9" s="12"/>
      <c r="AH9" s="103"/>
      <c r="AI9" s="102"/>
      <c r="AJ9" s="12"/>
      <c r="AK9" s="12"/>
      <c r="AL9" s="2"/>
      <c r="AM9" s="12"/>
      <c r="AN9" s="12"/>
      <c r="AO9" s="12"/>
      <c r="AP9" s="12"/>
      <c r="AQ9" s="12"/>
      <c r="AR9" s="13"/>
      <c r="AS9" s="11"/>
      <c r="AT9" s="12"/>
      <c r="AU9" s="4"/>
      <c r="AV9" s="14"/>
      <c r="AW9" s="2"/>
      <c r="AX9" s="95"/>
      <c r="AY9" s="2"/>
      <c r="AZ9" s="95"/>
      <c r="BA9" s="104"/>
      <c r="BB9" s="18"/>
      <c r="BC9" s="18" t="str">
        <f t="shared" si="0"/>
        <v/>
      </c>
      <c r="BD9" s="18" t="str">
        <f t="shared" si="1"/>
        <v/>
      </c>
      <c r="BE9" s="18" t="str">
        <f t="shared" si="2"/>
        <v/>
      </c>
      <c r="BF9" s="18"/>
      <c r="BG9" s="18"/>
      <c r="BH9" s="18"/>
      <c r="BI9" s="18" t="str">
        <f t="shared" si="3"/>
        <v/>
      </c>
      <c r="BJ9" s="18" t="str">
        <f t="shared" si="4"/>
        <v/>
      </c>
      <c r="BK9" s="18" t="str">
        <f t="shared" si="5"/>
        <v/>
      </c>
      <c r="BL9" s="18" t="str">
        <f t="shared" si="6"/>
        <v/>
      </c>
      <c r="BM9" s="18" t="str">
        <f t="shared" si="7"/>
        <v/>
      </c>
      <c r="BN9" s="18" t="str">
        <f t="shared" si="8"/>
        <v/>
      </c>
    </row>
    <row r="10" spans="1:66" ht="8.25" customHeight="1">
      <c r="A10" s="1" t="s">
        <v>115</v>
      </c>
      <c r="B10" s="2">
        <v>32</v>
      </c>
      <c r="C10" s="3" t="s">
        <v>204</v>
      </c>
      <c r="D10" s="11">
        <v>2504</v>
      </c>
      <c r="E10" s="4" t="s">
        <v>85</v>
      </c>
      <c r="F10" s="102">
        <v>130</v>
      </c>
      <c r="G10" s="2" t="s">
        <v>147</v>
      </c>
      <c r="H10" s="12">
        <v>106</v>
      </c>
      <c r="I10" s="12">
        <v>154</v>
      </c>
      <c r="J10" s="2" t="s">
        <v>147</v>
      </c>
      <c r="K10" s="12">
        <v>154</v>
      </c>
      <c r="L10" s="251"/>
      <c r="M10" s="252" t="s">
        <v>116</v>
      </c>
      <c r="N10" s="218"/>
      <c r="O10" s="2" t="s">
        <v>117</v>
      </c>
      <c r="P10" s="95" t="s">
        <v>175</v>
      </c>
      <c r="Q10" s="126">
        <v>1</v>
      </c>
      <c r="R10" s="2" t="s">
        <v>89</v>
      </c>
      <c r="S10" s="2" t="s">
        <v>118</v>
      </c>
      <c r="T10" s="2" t="s">
        <v>159</v>
      </c>
      <c r="U10" s="12" t="s">
        <v>89</v>
      </c>
      <c r="V10" s="13" t="s">
        <v>119</v>
      </c>
      <c r="W10" s="9" t="s">
        <v>91</v>
      </c>
      <c r="X10" s="10" t="s">
        <v>92</v>
      </c>
      <c r="Y10" s="11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 t="s">
        <v>57</v>
      </c>
      <c r="AF10" s="12" t="s">
        <v>57</v>
      </c>
      <c r="AG10" s="12">
        <v>0</v>
      </c>
      <c r="AH10" s="103">
        <v>0</v>
      </c>
      <c r="AI10" s="102">
        <v>0</v>
      </c>
      <c r="AJ10" s="12">
        <v>0</v>
      </c>
      <c r="AK10" s="12">
        <v>0</v>
      </c>
      <c r="AL10" s="2">
        <v>0</v>
      </c>
      <c r="AM10" s="12">
        <v>0</v>
      </c>
      <c r="AN10" s="12">
        <v>0</v>
      </c>
      <c r="AO10" s="12" t="s">
        <v>57</v>
      </c>
      <c r="AP10" s="12" t="s">
        <v>57</v>
      </c>
      <c r="AQ10" s="12">
        <v>0</v>
      </c>
      <c r="AR10" s="13">
        <v>0</v>
      </c>
      <c r="AS10" s="11">
        <v>0</v>
      </c>
      <c r="AT10" s="12">
        <v>22</v>
      </c>
      <c r="AU10" s="4" t="s">
        <v>93</v>
      </c>
      <c r="AV10" s="14" t="s">
        <v>94</v>
      </c>
      <c r="AW10" s="2" t="s">
        <v>122</v>
      </c>
      <c r="AX10" s="95">
        <v>500</v>
      </c>
      <c r="AY10" s="2" t="s">
        <v>96</v>
      </c>
      <c r="AZ10" s="95">
        <v>0</v>
      </c>
      <c r="BA10" s="104">
        <v>22</v>
      </c>
      <c r="BB10" s="18"/>
      <c r="BC10" s="18">
        <f t="shared" si="0"/>
        <v>11000</v>
      </c>
      <c r="BD10" s="18">
        <f t="shared" si="1"/>
        <v>22</v>
      </c>
      <c r="BE10" s="18">
        <f t="shared" si="2"/>
        <v>0</v>
      </c>
      <c r="BF10" s="18"/>
      <c r="BG10" s="18"/>
      <c r="BH10" s="18"/>
      <c r="BI10" s="18" t="str">
        <f t="shared" si="3"/>
        <v/>
      </c>
      <c r="BJ10" s="18" t="str">
        <f t="shared" si="4"/>
        <v/>
      </c>
      <c r="BK10" s="18" t="str">
        <f t="shared" si="5"/>
        <v/>
      </c>
      <c r="BL10" s="18" t="str">
        <f t="shared" si="6"/>
        <v/>
      </c>
      <c r="BM10" s="18" t="str">
        <f t="shared" si="7"/>
        <v/>
      </c>
      <c r="BN10" s="18" t="str">
        <f t="shared" si="8"/>
        <v/>
      </c>
    </row>
    <row r="11" spans="1:66" ht="8.25" customHeight="1">
      <c r="A11" s="1" t="s">
        <v>115</v>
      </c>
      <c r="B11" s="2">
        <v>32</v>
      </c>
      <c r="C11" s="3" t="s">
        <v>204</v>
      </c>
      <c r="D11" s="11">
        <v>2517</v>
      </c>
      <c r="E11" s="4" t="s">
        <v>85</v>
      </c>
      <c r="F11" s="102">
        <v>130</v>
      </c>
      <c r="G11" s="2" t="s">
        <v>147</v>
      </c>
      <c r="H11" s="12">
        <v>106</v>
      </c>
      <c r="I11" s="12">
        <v>154</v>
      </c>
      <c r="J11" s="2" t="s">
        <v>147</v>
      </c>
      <c r="K11" s="12">
        <v>154</v>
      </c>
      <c r="L11" s="251"/>
      <c r="M11" s="252" t="s">
        <v>116</v>
      </c>
      <c r="N11" s="218"/>
      <c r="O11" s="2" t="s">
        <v>117</v>
      </c>
      <c r="P11" s="95" t="s">
        <v>175</v>
      </c>
      <c r="Q11" s="126">
        <v>1</v>
      </c>
      <c r="R11" s="2" t="s">
        <v>89</v>
      </c>
      <c r="S11" s="2" t="s">
        <v>118</v>
      </c>
      <c r="T11" s="2" t="s">
        <v>159</v>
      </c>
      <c r="U11" s="12" t="s">
        <v>89</v>
      </c>
      <c r="V11" s="13" t="s">
        <v>119</v>
      </c>
      <c r="W11" s="9" t="s">
        <v>91</v>
      </c>
      <c r="X11" s="10" t="s">
        <v>92</v>
      </c>
      <c r="Y11" s="11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 t="s">
        <v>57</v>
      </c>
      <c r="AF11" s="12" t="s">
        <v>57</v>
      </c>
      <c r="AG11" s="12">
        <v>0</v>
      </c>
      <c r="AH11" s="103">
        <v>0</v>
      </c>
      <c r="AI11" s="102">
        <v>0</v>
      </c>
      <c r="AJ11" s="12">
        <v>0</v>
      </c>
      <c r="AK11" s="12">
        <v>0</v>
      </c>
      <c r="AL11" s="2">
        <v>0</v>
      </c>
      <c r="AM11" s="12">
        <v>0</v>
      </c>
      <c r="AN11" s="12">
        <v>0</v>
      </c>
      <c r="AO11" s="12" t="s">
        <v>57</v>
      </c>
      <c r="AP11" s="12" t="s">
        <v>57</v>
      </c>
      <c r="AQ11" s="12">
        <v>0</v>
      </c>
      <c r="AR11" s="13">
        <v>0</v>
      </c>
      <c r="AS11" s="11">
        <v>0</v>
      </c>
      <c r="AT11" s="12">
        <v>22</v>
      </c>
      <c r="AU11" s="4" t="s">
        <v>93</v>
      </c>
      <c r="AV11" s="14" t="s">
        <v>52</v>
      </c>
      <c r="AW11" s="2" t="s">
        <v>99</v>
      </c>
      <c r="AX11" s="95">
        <v>1000</v>
      </c>
      <c r="AY11" s="2" t="s">
        <v>100</v>
      </c>
      <c r="AZ11" s="95">
        <v>0</v>
      </c>
      <c r="BA11" s="104">
        <v>22</v>
      </c>
      <c r="BB11" s="18"/>
      <c r="BC11" s="18" t="str">
        <f t="shared" si="0"/>
        <v/>
      </c>
      <c r="BD11" s="18" t="str">
        <f t="shared" si="1"/>
        <v/>
      </c>
      <c r="BE11" s="18" t="str">
        <f t="shared" si="2"/>
        <v/>
      </c>
      <c r="BF11" s="18"/>
      <c r="BG11" s="18"/>
      <c r="BH11" s="18"/>
      <c r="BI11" s="18">
        <f t="shared" si="3"/>
        <v>22000</v>
      </c>
      <c r="BJ11" s="18">
        <f t="shared" si="4"/>
        <v>22</v>
      </c>
      <c r="BK11" s="18">
        <f t="shared" si="5"/>
        <v>0</v>
      </c>
      <c r="BL11" s="18" t="str">
        <f t="shared" si="6"/>
        <v/>
      </c>
      <c r="BM11" s="18" t="str">
        <f t="shared" si="7"/>
        <v/>
      </c>
      <c r="BN11" s="18" t="str">
        <f t="shared" si="8"/>
        <v/>
      </c>
    </row>
    <row r="12" spans="1:66" ht="8.25" customHeight="1">
      <c r="A12" s="1" t="s">
        <v>115</v>
      </c>
      <c r="B12" s="2">
        <v>32</v>
      </c>
      <c r="C12" s="3" t="s">
        <v>204</v>
      </c>
      <c r="D12" s="11">
        <v>2521</v>
      </c>
      <c r="E12" s="4" t="s">
        <v>85</v>
      </c>
      <c r="F12" s="102">
        <v>130</v>
      </c>
      <c r="G12" s="2" t="s">
        <v>147</v>
      </c>
      <c r="H12" s="12">
        <v>106</v>
      </c>
      <c r="I12" s="12">
        <v>154</v>
      </c>
      <c r="J12" s="2" t="s">
        <v>147</v>
      </c>
      <c r="K12" s="12">
        <v>154</v>
      </c>
      <c r="L12" s="251"/>
      <c r="M12" s="252" t="s">
        <v>116</v>
      </c>
      <c r="N12" s="218"/>
      <c r="O12" s="2" t="s">
        <v>117</v>
      </c>
      <c r="P12" s="95" t="s">
        <v>175</v>
      </c>
      <c r="Q12" s="126">
        <v>1</v>
      </c>
      <c r="R12" s="2" t="s">
        <v>89</v>
      </c>
      <c r="S12" s="2" t="s">
        <v>118</v>
      </c>
      <c r="T12" s="2" t="s">
        <v>159</v>
      </c>
      <c r="U12" s="12" t="s">
        <v>89</v>
      </c>
      <c r="V12" s="13" t="s">
        <v>119</v>
      </c>
      <c r="W12" s="9" t="s">
        <v>91</v>
      </c>
      <c r="X12" s="10" t="s">
        <v>92</v>
      </c>
      <c r="Y12" s="11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 t="s">
        <v>57</v>
      </c>
      <c r="AF12" s="12" t="s">
        <v>57</v>
      </c>
      <c r="AG12" s="12">
        <v>0</v>
      </c>
      <c r="AH12" s="103">
        <v>0</v>
      </c>
      <c r="AI12" s="102">
        <v>0</v>
      </c>
      <c r="AJ12" s="12">
        <v>0</v>
      </c>
      <c r="AK12" s="12">
        <v>0</v>
      </c>
      <c r="AL12" s="2">
        <v>0</v>
      </c>
      <c r="AM12" s="12">
        <v>0</v>
      </c>
      <c r="AN12" s="12">
        <v>0</v>
      </c>
      <c r="AO12" s="12" t="s">
        <v>57</v>
      </c>
      <c r="AP12" s="12" t="s">
        <v>57</v>
      </c>
      <c r="AQ12" s="12">
        <v>0</v>
      </c>
      <c r="AR12" s="13">
        <v>0</v>
      </c>
      <c r="AS12" s="11">
        <v>0</v>
      </c>
      <c r="AT12" s="12">
        <v>22</v>
      </c>
      <c r="AU12" s="4" t="s">
        <v>93</v>
      </c>
      <c r="AV12" s="14" t="s">
        <v>94</v>
      </c>
      <c r="AW12" s="2" t="s">
        <v>122</v>
      </c>
      <c r="AX12" s="95">
        <v>500</v>
      </c>
      <c r="AY12" s="2" t="s">
        <v>96</v>
      </c>
      <c r="AZ12" s="95">
        <v>0</v>
      </c>
      <c r="BA12" s="104">
        <v>22</v>
      </c>
      <c r="BB12" s="18"/>
      <c r="BC12" s="18">
        <f t="shared" si="0"/>
        <v>11000</v>
      </c>
      <c r="BD12" s="18">
        <f t="shared" si="1"/>
        <v>22</v>
      </c>
      <c r="BE12" s="18">
        <f t="shared" si="2"/>
        <v>0</v>
      </c>
      <c r="BF12" s="18"/>
      <c r="BG12" s="18"/>
      <c r="BH12" s="18"/>
      <c r="BI12" s="18" t="str">
        <f t="shared" si="3"/>
        <v/>
      </c>
      <c r="BJ12" s="18" t="str">
        <f t="shared" si="4"/>
        <v/>
      </c>
      <c r="BK12" s="18" t="str">
        <f t="shared" si="5"/>
        <v/>
      </c>
      <c r="BL12" s="18" t="str">
        <f t="shared" si="6"/>
        <v/>
      </c>
      <c r="BM12" s="18" t="str">
        <f t="shared" si="7"/>
        <v/>
      </c>
      <c r="BN12" s="18" t="str">
        <f t="shared" si="8"/>
        <v/>
      </c>
    </row>
    <row r="13" spans="1:66" ht="8.25" customHeight="1">
      <c r="A13" s="1" t="s">
        <v>115</v>
      </c>
      <c r="B13" s="2">
        <v>32</v>
      </c>
      <c r="C13" s="3" t="s">
        <v>204</v>
      </c>
      <c r="D13" s="11">
        <v>2525</v>
      </c>
      <c r="E13" s="4" t="s">
        <v>85</v>
      </c>
      <c r="F13" s="102">
        <v>105</v>
      </c>
      <c r="G13" s="2" t="s">
        <v>147</v>
      </c>
      <c r="H13" s="12">
        <v>100</v>
      </c>
      <c r="I13" s="12">
        <v>154</v>
      </c>
      <c r="J13" s="2" t="s">
        <v>147</v>
      </c>
      <c r="K13" s="12">
        <v>154</v>
      </c>
      <c r="L13" s="251"/>
      <c r="M13" s="252" t="s">
        <v>116</v>
      </c>
      <c r="N13" s="218"/>
      <c r="O13" s="2" t="s">
        <v>117</v>
      </c>
      <c r="P13" s="95" t="s">
        <v>175</v>
      </c>
      <c r="Q13" s="126">
        <v>1</v>
      </c>
      <c r="R13" s="2" t="s">
        <v>89</v>
      </c>
      <c r="S13" s="2" t="s">
        <v>118</v>
      </c>
      <c r="T13" s="2" t="s">
        <v>159</v>
      </c>
      <c r="U13" s="12" t="s">
        <v>89</v>
      </c>
      <c r="V13" s="13" t="s">
        <v>119</v>
      </c>
      <c r="W13" s="9" t="s">
        <v>91</v>
      </c>
      <c r="X13" s="10" t="s">
        <v>92</v>
      </c>
      <c r="Y13" s="11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 t="s">
        <v>57</v>
      </c>
      <c r="AF13" s="12" t="s">
        <v>57</v>
      </c>
      <c r="AG13" s="12">
        <v>0</v>
      </c>
      <c r="AH13" s="103">
        <v>0</v>
      </c>
      <c r="AI13" s="115">
        <v>0</v>
      </c>
      <c r="AJ13" s="116">
        <v>0</v>
      </c>
      <c r="AK13" s="116">
        <v>0</v>
      </c>
      <c r="AL13" s="117">
        <v>0</v>
      </c>
      <c r="AM13" s="116">
        <v>0</v>
      </c>
      <c r="AN13" s="116">
        <v>0</v>
      </c>
      <c r="AO13" s="116" t="s">
        <v>57</v>
      </c>
      <c r="AP13" s="116" t="s">
        <v>57</v>
      </c>
      <c r="AQ13" s="116">
        <v>0</v>
      </c>
      <c r="AR13" s="118">
        <v>0</v>
      </c>
      <c r="AS13" s="119">
        <v>0</v>
      </c>
      <c r="AT13" s="116">
        <v>22</v>
      </c>
      <c r="AU13" s="114" t="s">
        <v>93</v>
      </c>
      <c r="AV13" s="120" t="s">
        <v>58</v>
      </c>
      <c r="AW13" s="117" t="s">
        <v>226</v>
      </c>
      <c r="AX13" s="132">
        <v>96</v>
      </c>
      <c r="AY13" s="117" t="s">
        <v>100</v>
      </c>
      <c r="AZ13" s="132">
        <v>0</v>
      </c>
      <c r="BA13" s="133">
        <v>22</v>
      </c>
      <c r="BB13" s="18"/>
      <c r="BC13" s="18" t="str">
        <f t="shared" si="0"/>
        <v/>
      </c>
      <c r="BD13" s="18" t="str">
        <f t="shared" si="1"/>
        <v/>
      </c>
      <c r="BE13" s="18" t="str">
        <f t="shared" si="2"/>
        <v/>
      </c>
      <c r="BF13" s="18"/>
      <c r="BG13" s="18"/>
      <c r="BH13" s="18"/>
      <c r="BI13" s="18" t="str">
        <f t="shared" si="3"/>
        <v/>
      </c>
      <c r="BJ13" s="18" t="str">
        <f t="shared" si="4"/>
        <v/>
      </c>
      <c r="BK13" s="18" t="str">
        <f t="shared" si="5"/>
        <v/>
      </c>
      <c r="BL13" s="18">
        <f t="shared" si="6"/>
        <v>2112</v>
      </c>
      <c r="BM13" s="18">
        <f t="shared" si="7"/>
        <v>22</v>
      </c>
      <c r="BN13" s="18">
        <f t="shared" si="8"/>
        <v>0</v>
      </c>
    </row>
    <row r="14" spans="1:66" ht="8.25" customHeight="1">
      <c r="A14" s="1" t="s">
        <v>115</v>
      </c>
      <c r="B14" s="2">
        <v>32</v>
      </c>
      <c r="C14" s="3" t="s">
        <v>204</v>
      </c>
      <c r="D14" s="11">
        <v>2539</v>
      </c>
      <c r="E14" s="4" t="s">
        <v>85</v>
      </c>
      <c r="F14" s="102">
        <v>105</v>
      </c>
      <c r="G14" s="2" t="s">
        <v>147</v>
      </c>
      <c r="H14" s="12">
        <v>100</v>
      </c>
      <c r="I14" s="12">
        <v>154</v>
      </c>
      <c r="J14" s="2" t="s">
        <v>147</v>
      </c>
      <c r="K14" s="12">
        <v>154</v>
      </c>
      <c r="L14" s="251"/>
      <c r="M14" s="252" t="s">
        <v>116</v>
      </c>
      <c r="N14" s="218"/>
      <c r="O14" s="2" t="s">
        <v>117</v>
      </c>
      <c r="P14" s="95" t="s">
        <v>175</v>
      </c>
      <c r="Q14" s="126">
        <v>1</v>
      </c>
      <c r="R14" s="2" t="s">
        <v>89</v>
      </c>
      <c r="S14" s="2" t="s">
        <v>118</v>
      </c>
      <c r="T14" s="2" t="s">
        <v>159</v>
      </c>
      <c r="U14" s="12" t="s">
        <v>89</v>
      </c>
      <c r="V14" s="13" t="s">
        <v>119</v>
      </c>
      <c r="W14" s="9" t="s">
        <v>91</v>
      </c>
      <c r="X14" s="10" t="s">
        <v>92</v>
      </c>
      <c r="Y14" s="119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 t="s">
        <v>57</v>
      </c>
      <c r="AF14" s="116" t="s">
        <v>57</v>
      </c>
      <c r="AG14" s="116">
        <v>0</v>
      </c>
      <c r="AH14" s="121">
        <v>0</v>
      </c>
      <c r="AI14" s="115">
        <v>0</v>
      </c>
      <c r="AJ14" s="116">
        <v>0</v>
      </c>
      <c r="AK14" s="116">
        <v>0</v>
      </c>
      <c r="AL14" s="117">
        <v>0</v>
      </c>
      <c r="AM14" s="116">
        <v>0</v>
      </c>
      <c r="AN14" s="116">
        <v>0</v>
      </c>
      <c r="AO14" s="116" t="s">
        <v>57</v>
      </c>
      <c r="AP14" s="116" t="s">
        <v>57</v>
      </c>
      <c r="AQ14" s="116">
        <v>0</v>
      </c>
      <c r="AR14" s="118">
        <v>0</v>
      </c>
      <c r="AS14" s="119">
        <v>0</v>
      </c>
      <c r="AT14" s="116">
        <v>22</v>
      </c>
      <c r="AU14" s="114" t="s">
        <v>93</v>
      </c>
      <c r="AV14" s="120" t="s">
        <v>58</v>
      </c>
      <c r="AW14" s="117" t="s">
        <v>226</v>
      </c>
      <c r="AX14" s="132">
        <v>96</v>
      </c>
      <c r="AY14" s="117" t="s">
        <v>100</v>
      </c>
      <c r="AZ14" s="132">
        <v>0</v>
      </c>
      <c r="BA14" s="133">
        <v>22</v>
      </c>
      <c r="BB14" s="18"/>
      <c r="BC14" s="18" t="str">
        <f t="shared" si="0"/>
        <v/>
      </c>
      <c r="BD14" s="18" t="str">
        <f t="shared" si="1"/>
        <v/>
      </c>
      <c r="BE14" s="18" t="str">
        <f t="shared" si="2"/>
        <v/>
      </c>
      <c r="BF14" s="18"/>
      <c r="BG14" s="18"/>
      <c r="BH14" s="18"/>
      <c r="BI14" s="18" t="str">
        <f t="shared" si="3"/>
        <v/>
      </c>
      <c r="BJ14" s="18" t="str">
        <f t="shared" si="4"/>
        <v/>
      </c>
      <c r="BK14" s="18" t="str">
        <f t="shared" si="5"/>
        <v/>
      </c>
      <c r="BL14" s="18">
        <f t="shared" si="6"/>
        <v>2112</v>
      </c>
      <c r="BM14" s="18">
        <f t="shared" si="7"/>
        <v>22</v>
      </c>
      <c r="BN14" s="18">
        <f t="shared" si="8"/>
        <v>0</v>
      </c>
    </row>
    <row r="15" spans="1:66" ht="8.25" customHeight="1">
      <c r="A15" s="122" t="s">
        <v>115</v>
      </c>
      <c r="B15" s="117">
        <v>32</v>
      </c>
      <c r="C15" s="125" t="s">
        <v>204</v>
      </c>
      <c r="D15" s="119">
        <v>2543</v>
      </c>
      <c r="E15" s="114" t="s">
        <v>85</v>
      </c>
      <c r="F15" s="115">
        <v>105</v>
      </c>
      <c r="G15" s="117" t="s">
        <v>147</v>
      </c>
      <c r="H15" s="116">
        <v>100</v>
      </c>
      <c r="I15" s="116">
        <v>154</v>
      </c>
      <c r="J15" s="117" t="s">
        <v>147</v>
      </c>
      <c r="K15" s="116">
        <v>154</v>
      </c>
      <c r="L15" s="134"/>
      <c r="M15" s="181" t="s">
        <v>116</v>
      </c>
      <c r="N15" s="182"/>
      <c r="O15" s="117" t="s">
        <v>117</v>
      </c>
      <c r="P15" s="132" t="s">
        <v>175</v>
      </c>
      <c r="Q15" s="180">
        <v>1</v>
      </c>
      <c r="R15" s="117" t="s">
        <v>89</v>
      </c>
      <c r="S15" s="117" t="s">
        <v>118</v>
      </c>
      <c r="T15" s="117" t="s">
        <v>159</v>
      </c>
      <c r="U15" s="116" t="s">
        <v>89</v>
      </c>
      <c r="V15" s="118" t="s">
        <v>119</v>
      </c>
      <c r="W15" s="123" t="s">
        <v>91</v>
      </c>
      <c r="X15" s="124" t="s">
        <v>92</v>
      </c>
      <c r="Y15" s="119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 t="s">
        <v>57</v>
      </c>
      <c r="AF15" s="116" t="s">
        <v>57</v>
      </c>
      <c r="AG15" s="116">
        <v>0</v>
      </c>
      <c r="AH15" s="121">
        <v>0</v>
      </c>
      <c r="AI15" s="115"/>
      <c r="AJ15" s="116"/>
      <c r="AK15" s="116"/>
      <c r="AL15" s="117"/>
      <c r="AM15" s="116"/>
      <c r="AN15" s="116"/>
      <c r="AO15" s="116"/>
      <c r="AP15" s="116"/>
      <c r="AQ15" s="116"/>
      <c r="AR15" s="118"/>
      <c r="AS15" s="119">
        <v>0</v>
      </c>
      <c r="AT15" s="116">
        <v>22</v>
      </c>
      <c r="AU15" s="114" t="s">
        <v>93</v>
      </c>
      <c r="AV15" s="120" t="s">
        <v>52</v>
      </c>
      <c r="AW15" s="117" t="s">
        <v>155</v>
      </c>
      <c r="AX15" s="132"/>
      <c r="AY15" s="117"/>
      <c r="AZ15" s="132"/>
      <c r="BA15" s="133"/>
      <c r="BB15" s="18"/>
      <c r="BC15" s="18" t="str">
        <f t="shared" si="0"/>
        <v/>
      </c>
      <c r="BD15" s="18" t="str">
        <f t="shared" si="1"/>
        <v/>
      </c>
      <c r="BE15" s="18" t="str">
        <f t="shared" si="2"/>
        <v/>
      </c>
      <c r="BF15" s="18"/>
      <c r="BG15" s="18"/>
      <c r="BH15" s="18"/>
      <c r="BI15" s="18" t="str">
        <f t="shared" si="3"/>
        <v/>
      </c>
      <c r="BJ15" s="18" t="str">
        <f t="shared" si="4"/>
        <v/>
      </c>
      <c r="BK15" s="18" t="str">
        <f t="shared" si="5"/>
        <v/>
      </c>
      <c r="BL15" s="18" t="str">
        <f t="shared" si="6"/>
        <v/>
      </c>
      <c r="BM15" s="18" t="str">
        <f t="shared" si="7"/>
        <v/>
      </c>
      <c r="BN15" s="18" t="str">
        <f t="shared" si="8"/>
        <v/>
      </c>
    </row>
    <row r="16" spans="1:66" ht="8.25" customHeight="1">
      <c r="A16" s="1"/>
      <c r="B16" s="2"/>
      <c r="C16" s="3"/>
      <c r="D16" s="11"/>
      <c r="E16" s="4"/>
      <c r="F16" s="102"/>
      <c r="G16" s="2"/>
      <c r="H16" s="12"/>
      <c r="I16" s="12"/>
      <c r="J16" s="2"/>
      <c r="K16" s="12"/>
      <c r="L16" s="251"/>
      <c r="M16" s="252"/>
      <c r="N16" s="218"/>
      <c r="O16" s="2"/>
      <c r="P16" s="95"/>
      <c r="Q16" s="12"/>
      <c r="R16" s="2"/>
      <c r="S16" s="2"/>
      <c r="T16" s="2"/>
      <c r="U16" s="12"/>
      <c r="V16" s="13"/>
      <c r="W16" s="9"/>
      <c r="X16" s="10"/>
      <c r="Y16" s="11"/>
      <c r="Z16" s="12"/>
      <c r="AA16" s="12"/>
      <c r="AB16" s="12"/>
      <c r="AC16" s="12"/>
      <c r="AD16" s="12"/>
      <c r="AE16" s="12"/>
      <c r="AF16" s="12"/>
      <c r="AG16" s="12"/>
      <c r="AH16" s="103"/>
      <c r="AI16" s="102"/>
      <c r="AJ16" s="12"/>
      <c r="AK16" s="12"/>
      <c r="AL16" s="2"/>
      <c r="AM16" s="12"/>
      <c r="AN16" s="12"/>
      <c r="AO16" s="12"/>
      <c r="AP16" s="12"/>
      <c r="AQ16" s="12"/>
      <c r="AR16" s="13"/>
      <c r="AS16" s="11"/>
      <c r="AT16" s="12"/>
      <c r="AU16" s="4"/>
      <c r="AV16" s="14"/>
      <c r="AW16" s="2"/>
      <c r="AX16" s="95"/>
      <c r="AY16" s="2"/>
      <c r="AZ16" s="95"/>
      <c r="BA16" s="104"/>
      <c r="BB16" s="18"/>
      <c r="BC16" s="18" t="str">
        <f t="shared" si="0"/>
        <v/>
      </c>
      <c r="BD16" s="18" t="str">
        <f t="shared" si="1"/>
        <v/>
      </c>
      <c r="BE16" s="18" t="str">
        <f t="shared" si="2"/>
        <v/>
      </c>
      <c r="BF16" s="18"/>
      <c r="BG16" s="18"/>
      <c r="BH16" s="18"/>
      <c r="BI16" s="18" t="str">
        <f t="shared" si="3"/>
        <v/>
      </c>
      <c r="BJ16" s="18" t="str">
        <f t="shared" si="4"/>
        <v/>
      </c>
      <c r="BK16" s="18" t="str">
        <f t="shared" si="5"/>
        <v/>
      </c>
      <c r="BL16" s="18" t="str">
        <f t="shared" si="6"/>
        <v/>
      </c>
      <c r="BM16" s="18" t="str">
        <f t="shared" si="7"/>
        <v/>
      </c>
      <c r="BN16" s="18" t="str">
        <f t="shared" si="8"/>
        <v/>
      </c>
    </row>
    <row r="17" spans="1:66" ht="8.25" customHeight="1">
      <c r="A17" s="1"/>
      <c r="B17" s="2"/>
      <c r="C17" s="3"/>
      <c r="D17" s="101"/>
      <c r="E17" s="4"/>
      <c r="F17" s="102"/>
      <c r="G17" s="2"/>
      <c r="H17" s="12"/>
      <c r="I17" s="12"/>
      <c r="J17" s="2"/>
      <c r="K17" s="12"/>
      <c r="L17" s="251"/>
      <c r="M17" s="252"/>
      <c r="N17" s="218"/>
      <c r="O17" s="2"/>
      <c r="P17" s="95"/>
      <c r="Q17" s="12"/>
      <c r="R17" s="2"/>
      <c r="S17" s="2"/>
      <c r="T17" s="2"/>
      <c r="U17" s="12"/>
      <c r="V17" s="13"/>
      <c r="W17" s="9"/>
      <c r="X17" s="10"/>
      <c r="Y17" s="11"/>
      <c r="Z17" s="12"/>
      <c r="AA17" s="12"/>
      <c r="AB17" s="12"/>
      <c r="AC17" s="12"/>
      <c r="AD17" s="12"/>
      <c r="AE17" s="12"/>
      <c r="AF17" s="12"/>
      <c r="AG17" s="12"/>
      <c r="AH17" s="103"/>
      <c r="AI17" s="102"/>
      <c r="AJ17" s="12"/>
      <c r="AK17" s="12"/>
      <c r="AL17" s="2"/>
      <c r="AM17" s="12"/>
      <c r="AN17" s="12"/>
      <c r="AO17" s="12"/>
      <c r="AP17" s="12"/>
      <c r="AQ17" s="12"/>
      <c r="AR17" s="13"/>
      <c r="AS17" s="11"/>
      <c r="AT17" s="12"/>
      <c r="AU17" s="4"/>
      <c r="AV17" s="14"/>
      <c r="AW17" s="2"/>
      <c r="AX17" s="95"/>
      <c r="AY17" s="2"/>
      <c r="AZ17" s="95"/>
      <c r="BA17" s="104"/>
      <c r="BB17" s="18"/>
      <c r="BC17" s="18" t="str">
        <f t="shared" si="0"/>
        <v/>
      </c>
      <c r="BD17" s="18" t="str">
        <f t="shared" si="1"/>
        <v/>
      </c>
      <c r="BE17" s="18" t="str">
        <f t="shared" si="2"/>
        <v/>
      </c>
      <c r="BF17" s="18"/>
      <c r="BG17" s="18"/>
      <c r="BH17" s="18"/>
      <c r="BI17" s="18" t="str">
        <f t="shared" si="3"/>
        <v/>
      </c>
      <c r="BJ17" s="18" t="str">
        <f t="shared" si="4"/>
        <v/>
      </c>
      <c r="BK17" s="18" t="str">
        <f t="shared" si="5"/>
        <v/>
      </c>
      <c r="BL17" s="18" t="str">
        <f t="shared" si="6"/>
        <v/>
      </c>
      <c r="BM17" s="18" t="str">
        <f t="shared" si="7"/>
        <v/>
      </c>
      <c r="BN17" s="18" t="str">
        <f t="shared" si="8"/>
        <v/>
      </c>
    </row>
    <row r="18" spans="1:66" ht="8.25" customHeight="1">
      <c r="A18" s="1"/>
      <c r="B18" s="2"/>
      <c r="C18" s="3"/>
      <c r="D18" s="101"/>
      <c r="E18" s="4"/>
      <c r="F18" s="102"/>
      <c r="G18" s="2"/>
      <c r="H18" s="12"/>
      <c r="I18" s="12"/>
      <c r="J18" s="2"/>
      <c r="K18" s="12"/>
      <c r="L18" s="251"/>
      <c r="M18" s="252"/>
      <c r="N18" s="218"/>
      <c r="O18" s="2"/>
      <c r="P18" s="95"/>
      <c r="Q18" s="12"/>
      <c r="R18" s="2"/>
      <c r="S18" s="2"/>
      <c r="T18" s="2"/>
      <c r="U18" s="12"/>
      <c r="V18" s="13"/>
      <c r="W18" s="9"/>
      <c r="X18" s="10"/>
      <c r="Y18" s="11"/>
      <c r="Z18" s="12"/>
      <c r="AA18" s="12"/>
      <c r="AB18" s="12"/>
      <c r="AC18" s="12"/>
      <c r="AD18" s="12"/>
      <c r="AE18" s="12"/>
      <c r="AF18" s="12"/>
      <c r="AG18" s="12"/>
      <c r="AH18" s="103"/>
      <c r="AI18" s="102"/>
      <c r="AJ18" s="12"/>
      <c r="AK18" s="12"/>
      <c r="AL18" s="2"/>
      <c r="AM18" s="12"/>
      <c r="AN18" s="12"/>
      <c r="AO18" s="12"/>
      <c r="AP18" s="12"/>
      <c r="AQ18" s="12"/>
      <c r="AR18" s="13"/>
      <c r="AS18" s="11"/>
      <c r="AT18" s="12"/>
      <c r="AU18" s="4"/>
      <c r="AV18" s="14"/>
      <c r="AW18" s="2"/>
      <c r="AX18" s="95"/>
      <c r="AY18" s="2"/>
      <c r="AZ18" s="95"/>
      <c r="BA18" s="104"/>
      <c r="BB18" s="18"/>
      <c r="BC18" s="18" t="str">
        <f t="shared" si="0"/>
        <v/>
      </c>
      <c r="BD18" s="18" t="str">
        <f t="shared" si="1"/>
        <v/>
      </c>
      <c r="BE18" s="18" t="str">
        <f t="shared" si="2"/>
        <v/>
      </c>
      <c r="BF18" s="18"/>
      <c r="BG18" s="18"/>
      <c r="BH18" s="18"/>
      <c r="BI18" s="18" t="str">
        <f t="shared" si="3"/>
        <v/>
      </c>
      <c r="BJ18" s="18" t="str">
        <f t="shared" si="4"/>
        <v/>
      </c>
      <c r="BK18" s="18" t="str">
        <f t="shared" si="5"/>
        <v/>
      </c>
      <c r="BL18" s="18" t="str">
        <f t="shared" si="6"/>
        <v/>
      </c>
      <c r="BM18" s="18" t="str">
        <f t="shared" si="7"/>
        <v/>
      </c>
      <c r="BN18" s="18" t="str">
        <f t="shared" si="8"/>
        <v/>
      </c>
    </row>
    <row r="19" spans="1:66" ht="8.25" customHeight="1">
      <c r="A19" s="1"/>
      <c r="B19" s="2"/>
      <c r="C19" s="3"/>
      <c r="D19" s="101"/>
      <c r="E19" s="4"/>
      <c r="F19" s="102"/>
      <c r="G19" s="2"/>
      <c r="H19" s="12"/>
      <c r="I19" s="12"/>
      <c r="J19" s="2"/>
      <c r="K19" s="12"/>
      <c r="L19" s="251"/>
      <c r="M19" s="252"/>
      <c r="N19" s="218"/>
      <c r="O19" s="2"/>
      <c r="P19" s="95"/>
      <c r="Q19" s="12"/>
      <c r="R19" s="2"/>
      <c r="S19" s="2"/>
      <c r="T19" s="2"/>
      <c r="U19" s="12"/>
      <c r="V19" s="13"/>
      <c r="W19" s="9"/>
      <c r="X19" s="10"/>
      <c r="Y19" s="11"/>
      <c r="Z19" s="12"/>
      <c r="AA19" s="12"/>
      <c r="AB19" s="12"/>
      <c r="AC19" s="12"/>
      <c r="AD19" s="12"/>
      <c r="AE19" s="12"/>
      <c r="AF19" s="12"/>
      <c r="AG19" s="12"/>
      <c r="AH19" s="103"/>
      <c r="AI19" s="102"/>
      <c r="AJ19" s="12"/>
      <c r="AK19" s="12"/>
      <c r="AL19" s="2"/>
      <c r="AM19" s="12"/>
      <c r="AN19" s="12"/>
      <c r="AO19" s="12"/>
      <c r="AP19" s="12"/>
      <c r="AQ19" s="12"/>
      <c r="AR19" s="13"/>
      <c r="AS19" s="11"/>
      <c r="AT19" s="12"/>
      <c r="AU19" s="4"/>
      <c r="AV19" s="14"/>
      <c r="AW19" s="2"/>
      <c r="AX19" s="95"/>
      <c r="AY19" s="2"/>
      <c r="AZ19" s="95"/>
      <c r="BA19" s="104"/>
      <c r="BB19" s="18"/>
      <c r="BC19" s="18" t="str">
        <f t="shared" si="0"/>
        <v/>
      </c>
      <c r="BD19" s="18" t="str">
        <f t="shared" si="1"/>
        <v/>
      </c>
      <c r="BE19" s="18" t="str">
        <f t="shared" si="2"/>
        <v/>
      </c>
      <c r="BF19" s="18"/>
      <c r="BG19" s="18"/>
      <c r="BH19" s="18"/>
      <c r="BI19" s="18" t="str">
        <f t="shared" si="3"/>
        <v/>
      </c>
      <c r="BJ19" s="18" t="str">
        <f t="shared" si="4"/>
        <v/>
      </c>
      <c r="BK19" s="18" t="str">
        <f t="shared" si="5"/>
        <v/>
      </c>
      <c r="BL19" s="18" t="str">
        <f t="shared" si="6"/>
        <v/>
      </c>
      <c r="BM19" s="18" t="str">
        <f t="shared" si="7"/>
        <v/>
      </c>
      <c r="BN19" s="18" t="str">
        <f t="shared" si="8"/>
        <v/>
      </c>
    </row>
    <row r="20" spans="1:66" ht="8.25" customHeight="1">
      <c r="A20" s="1"/>
      <c r="B20" s="2"/>
      <c r="C20" s="3"/>
      <c r="D20" s="101"/>
      <c r="E20" s="4"/>
      <c r="F20" s="102"/>
      <c r="G20" s="2"/>
      <c r="H20" s="12"/>
      <c r="I20" s="12"/>
      <c r="J20" s="2"/>
      <c r="K20" s="12"/>
      <c r="L20" s="251"/>
      <c r="M20" s="252"/>
      <c r="N20" s="218"/>
      <c r="O20" s="2"/>
      <c r="P20" s="95"/>
      <c r="Q20" s="12"/>
      <c r="R20" s="2"/>
      <c r="S20" s="2"/>
      <c r="T20" s="2"/>
      <c r="U20" s="12"/>
      <c r="V20" s="13"/>
      <c r="W20" s="9"/>
      <c r="X20" s="10"/>
      <c r="Y20" s="11"/>
      <c r="Z20" s="12"/>
      <c r="AA20" s="12"/>
      <c r="AB20" s="12"/>
      <c r="AC20" s="12"/>
      <c r="AD20" s="12"/>
      <c r="AE20" s="12"/>
      <c r="AF20" s="12"/>
      <c r="AG20" s="12"/>
      <c r="AH20" s="103"/>
      <c r="AI20" s="102"/>
      <c r="AJ20" s="12"/>
      <c r="AK20" s="12"/>
      <c r="AL20" s="2"/>
      <c r="AM20" s="12"/>
      <c r="AN20" s="12"/>
      <c r="AO20" s="12"/>
      <c r="AP20" s="12"/>
      <c r="AQ20" s="12"/>
      <c r="AR20" s="13"/>
      <c r="AS20" s="11"/>
      <c r="AT20" s="12"/>
      <c r="AU20" s="4"/>
      <c r="AV20" s="14"/>
      <c r="AW20" s="2"/>
      <c r="AX20" s="95"/>
      <c r="AY20" s="2"/>
      <c r="AZ20" s="95"/>
      <c r="BA20" s="104"/>
      <c r="BB20" s="18"/>
      <c r="BC20" s="18" t="str">
        <f t="shared" si="0"/>
        <v/>
      </c>
      <c r="BD20" s="18" t="str">
        <f t="shared" si="1"/>
        <v/>
      </c>
      <c r="BE20" s="18" t="str">
        <f t="shared" si="2"/>
        <v/>
      </c>
      <c r="BF20" s="18"/>
      <c r="BG20" s="18"/>
      <c r="BH20" s="18"/>
      <c r="BI20" s="18" t="str">
        <f t="shared" si="3"/>
        <v/>
      </c>
      <c r="BJ20" s="18" t="str">
        <f t="shared" si="4"/>
        <v/>
      </c>
      <c r="BK20" s="18" t="str">
        <f t="shared" si="5"/>
        <v/>
      </c>
      <c r="BL20" s="18" t="str">
        <f t="shared" si="6"/>
        <v/>
      </c>
      <c r="BM20" s="18" t="str">
        <f t="shared" si="7"/>
        <v/>
      </c>
      <c r="BN20" s="18" t="str">
        <f t="shared" si="8"/>
        <v/>
      </c>
    </row>
    <row r="21" spans="1:66" ht="8.25" customHeight="1">
      <c r="A21" s="1"/>
      <c r="B21" s="2"/>
      <c r="C21" s="3"/>
      <c r="D21" s="101"/>
      <c r="E21" s="4"/>
      <c r="F21" s="102"/>
      <c r="G21" s="2"/>
      <c r="H21" s="12"/>
      <c r="I21" s="12"/>
      <c r="J21" s="2"/>
      <c r="K21" s="12"/>
      <c r="L21" s="251"/>
      <c r="M21" s="252"/>
      <c r="N21" s="218"/>
      <c r="O21" s="2"/>
      <c r="P21" s="95"/>
      <c r="Q21" s="12"/>
      <c r="R21" s="2"/>
      <c r="S21" s="2"/>
      <c r="T21" s="2"/>
      <c r="U21" s="12"/>
      <c r="V21" s="13"/>
      <c r="W21" s="9"/>
      <c r="X21" s="10"/>
      <c r="Y21" s="11"/>
      <c r="Z21" s="12"/>
      <c r="AA21" s="12"/>
      <c r="AB21" s="12"/>
      <c r="AC21" s="12"/>
      <c r="AD21" s="12"/>
      <c r="AE21" s="12"/>
      <c r="AF21" s="12"/>
      <c r="AG21" s="12"/>
      <c r="AH21" s="103"/>
      <c r="AI21" s="102"/>
      <c r="AJ21" s="12"/>
      <c r="AK21" s="12"/>
      <c r="AL21" s="2"/>
      <c r="AM21" s="12"/>
      <c r="AN21" s="12"/>
      <c r="AO21" s="12"/>
      <c r="AP21" s="12"/>
      <c r="AQ21" s="12"/>
      <c r="AR21" s="13"/>
      <c r="AS21" s="11"/>
      <c r="AT21" s="12"/>
      <c r="AU21" s="4"/>
      <c r="AV21" s="14"/>
      <c r="AW21" s="2"/>
      <c r="AX21" s="95"/>
      <c r="AY21" s="2"/>
      <c r="AZ21" s="95"/>
      <c r="BA21" s="104"/>
      <c r="BB21" s="18"/>
      <c r="BC21" s="18" t="str">
        <f t="shared" si="0"/>
        <v/>
      </c>
      <c r="BD21" s="18" t="str">
        <f t="shared" si="1"/>
        <v/>
      </c>
      <c r="BE21" s="18" t="str">
        <f t="shared" si="2"/>
        <v/>
      </c>
      <c r="BF21" s="18"/>
      <c r="BG21" s="18"/>
      <c r="BH21" s="18"/>
      <c r="BI21" s="18" t="str">
        <f t="shared" si="3"/>
        <v/>
      </c>
      <c r="BJ21" s="18" t="str">
        <f t="shared" si="4"/>
        <v/>
      </c>
      <c r="BK21" s="18" t="str">
        <f t="shared" si="5"/>
        <v/>
      </c>
      <c r="BL21" s="18" t="str">
        <f t="shared" si="6"/>
        <v/>
      </c>
      <c r="BM21" s="18" t="str">
        <f t="shared" si="7"/>
        <v/>
      </c>
      <c r="BN21" s="18" t="str">
        <f t="shared" si="8"/>
        <v/>
      </c>
    </row>
    <row r="22" spans="1:66" ht="8.25" customHeight="1">
      <c r="A22" s="1"/>
      <c r="B22" s="2"/>
      <c r="C22" s="3"/>
      <c r="D22" s="101"/>
      <c r="E22" s="4"/>
      <c r="F22" s="102"/>
      <c r="G22" s="2"/>
      <c r="H22" s="12"/>
      <c r="I22" s="12"/>
      <c r="J22" s="2"/>
      <c r="K22" s="12"/>
      <c r="L22" s="251"/>
      <c r="M22" s="252"/>
      <c r="N22" s="218"/>
      <c r="O22" s="2"/>
      <c r="P22" s="95"/>
      <c r="Q22" s="12"/>
      <c r="R22" s="2"/>
      <c r="S22" s="2"/>
      <c r="T22" s="2"/>
      <c r="U22" s="12"/>
      <c r="V22" s="13"/>
      <c r="W22" s="9"/>
      <c r="X22" s="10"/>
      <c r="Y22" s="11"/>
      <c r="Z22" s="12"/>
      <c r="AA22" s="12"/>
      <c r="AB22" s="12"/>
      <c r="AC22" s="12"/>
      <c r="AD22" s="12"/>
      <c r="AE22" s="12"/>
      <c r="AF22" s="12"/>
      <c r="AG22" s="12"/>
      <c r="AH22" s="103"/>
      <c r="AI22" s="102"/>
      <c r="AJ22" s="12"/>
      <c r="AK22" s="12"/>
      <c r="AL22" s="2"/>
      <c r="AM22" s="12"/>
      <c r="AN22" s="12"/>
      <c r="AO22" s="12"/>
      <c r="AP22" s="12"/>
      <c r="AQ22" s="12"/>
      <c r="AR22" s="13"/>
      <c r="AS22" s="11"/>
      <c r="AT22" s="12"/>
      <c r="AU22" s="4"/>
      <c r="AV22" s="14"/>
      <c r="AW22" s="2"/>
      <c r="AX22" s="95"/>
      <c r="AY22" s="2"/>
      <c r="AZ22" s="95"/>
      <c r="BA22" s="104"/>
      <c r="BB22" s="18"/>
      <c r="BC22" s="18" t="str">
        <f t="shared" si="0"/>
        <v/>
      </c>
      <c r="BD22" s="18" t="str">
        <f t="shared" si="1"/>
        <v/>
      </c>
      <c r="BE22" s="18" t="str">
        <f t="shared" si="2"/>
        <v/>
      </c>
      <c r="BF22" s="18"/>
      <c r="BG22" s="18"/>
      <c r="BH22" s="18"/>
      <c r="BI22" s="18" t="str">
        <f t="shared" si="3"/>
        <v/>
      </c>
      <c r="BJ22" s="18" t="str">
        <f t="shared" si="4"/>
        <v/>
      </c>
      <c r="BK22" s="18" t="str">
        <f t="shared" si="5"/>
        <v/>
      </c>
      <c r="BL22" s="18" t="str">
        <f t="shared" si="6"/>
        <v/>
      </c>
      <c r="BM22" s="18" t="str">
        <f t="shared" si="7"/>
        <v/>
      </c>
      <c r="BN22" s="18" t="str">
        <f t="shared" si="8"/>
        <v/>
      </c>
    </row>
    <row r="23" spans="1:66" ht="8.25" customHeight="1">
      <c r="A23" s="1"/>
      <c r="B23" s="2"/>
      <c r="C23" s="3"/>
      <c r="D23" s="101"/>
      <c r="E23" s="4"/>
      <c r="F23" s="102"/>
      <c r="G23" s="2"/>
      <c r="H23" s="12"/>
      <c r="I23" s="12"/>
      <c r="J23" s="2"/>
      <c r="K23" s="12"/>
      <c r="L23" s="251"/>
      <c r="M23" s="252"/>
      <c r="N23" s="218"/>
      <c r="O23" s="2"/>
      <c r="P23" s="95"/>
      <c r="Q23" s="12"/>
      <c r="R23" s="2"/>
      <c r="S23" s="2"/>
      <c r="T23" s="2"/>
      <c r="U23" s="12"/>
      <c r="V23" s="13"/>
      <c r="W23" s="9"/>
      <c r="X23" s="10"/>
      <c r="Y23" s="11"/>
      <c r="Z23" s="12"/>
      <c r="AA23" s="12"/>
      <c r="AB23" s="12"/>
      <c r="AC23" s="12"/>
      <c r="AD23" s="12"/>
      <c r="AE23" s="12"/>
      <c r="AF23" s="12"/>
      <c r="AG23" s="12"/>
      <c r="AH23" s="103"/>
      <c r="AI23" s="102"/>
      <c r="AJ23" s="12"/>
      <c r="AK23" s="12"/>
      <c r="AL23" s="2"/>
      <c r="AM23" s="12"/>
      <c r="AN23" s="12"/>
      <c r="AO23" s="12"/>
      <c r="AP23" s="12"/>
      <c r="AQ23" s="12"/>
      <c r="AR23" s="13"/>
      <c r="AS23" s="11"/>
      <c r="AT23" s="12"/>
      <c r="AU23" s="4"/>
      <c r="AV23" s="14"/>
      <c r="AW23" s="2"/>
      <c r="AX23" s="95"/>
      <c r="AY23" s="2"/>
      <c r="AZ23" s="95"/>
      <c r="BA23" s="104"/>
      <c r="BB23" s="18"/>
      <c r="BC23" s="18" t="str">
        <f t="shared" si="0"/>
        <v/>
      </c>
      <c r="BD23" s="18" t="str">
        <f t="shared" si="1"/>
        <v/>
      </c>
      <c r="BE23" s="18" t="str">
        <f t="shared" si="2"/>
        <v/>
      </c>
      <c r="BF23" s="18"/>
      <c r="BG23" s="18"/>
      <c r="BH23" s="18"/>
      <c r="BI23" s="18" t="str">
        <f t="shared" si="3"/>
        <v/>
      </c>
      <c r="BJ23" s="18" t="str">
        <f t="shared" si="4"/>
        <v/>
      </c>
      <c r="BK23" s="18" t="str">
        <f t="shared" si="5"/>
        <v/>
      </c>
      <c r="BL23" s="18" t="str">
        <f t="shared" si="6"/>
        <v/>
      </c>
      <c r="BM23" s="18" t="str">
        <f t="shared" si="7"/>
        <v/>
      </c>
      <c r="BN23" s="18" t="str">
        <f t="shared" si="8"/>
        <v/>
      </c>
    </row>
    <row r="24" spans="1:66" ht="8.25" customHeight="1">
      <c r="A24" s="1"/>
      <c r="B24" s="2"/>
      <c r="C24" s="3"/>
      <c r="D24" s="101"/>
      <c r="E24" s="4"/>
      <c r="F24" s="102"/>
      <c r="G24" s="2"/>
      <c r="H24" s="12"/>
      <c r="I24" s="12"/>
      <c r="J24" s="2"/>
      <c r="K24" s="12"/>
      <c r="L24" s="251"/>
      <c r="M24" s="252"/>
      <c r="N24" s="218"/>
      <c r="O24" s="2"/>
      <c r="P24" s="95"/>
      <c r="Q24" s="12"/>
      <c r="R24" s="2"/>
      <c r="S24" s="2"/>
      <c r="T24" s="2"/>
      <c r="U24" s="12"/>
      <c r="V24" s="13"/>
      <c r="W24" s="9"/>
      <c r="X24" s="10"/>
      <c r="Y24" s="11"/>
      <c r="Z24" s="12"/>
      <c r="AA24" s="12"/>
      <c r="AB24" s="12"/>
      <c r="AC24" s="12"/>
      <c r="AD24" s="12"/>
      <c r="AE24" s="12"/>
      <c r="AF24" s="12"/>
      <c r="AG24" s="12"/>
      <c r="AH24" s="103"/>
      <c r="AI24" s="102"/>
      <c r="AJ24" s="12"/>
      <c r="AK24" s="12"/>
      <c r="AL24" s="2"/>
      <c r="AM24" s="12"/>
      <c r="AN24" s="12"/>
      <c r="AO24" s="12"/>
      <c r="AP24" s="12"/>
      <c r="AQ24" s="12"/>
      <c r="AR24" s="13"/>
      <c r="AS24" s="11"/>
      <c r="AT24" s="12"/>
      <c r="AU24" s="4"/>
      <c r="AV24" s="14"/>
      <c r="AW24" s="2"/>
      <c r="AX24" s="95"/>
      <c r="AY24" s="2"/>
      <c r="AZ24" s="95"/>
      <c r="BA24" s="104"/>
      <c r="BB24" s="18"/>
      <c r="BC24" s="18" t="str">
        <f t="shared" si="0"/>
        <v/>
      </c>
      <c r="BD24" s="18" t="str">
        <f t="shared" si="1"/>
        <v/>
      </c>
      <c r="BE24" s="18" t="str">
        <f t="shared" si="2"/>
        <v/>
      </c>
      <c r="BF24" s="18"/>
      <c r="BG24" s="18"/>
      <c r="BH24" s="18"/>
      <c r="BI24" s="18" t="str">
        <f t="shared" si="3"/>
        <v/>
      </c>
      <c r="BJ24" s="18" t="str">
        <f t="shared" si="4"/>
        <v/>
      </c>
      <c r="BK24" s="18" t="str">
        <f t="shared" si="5"/>
        <v/>
      </c>
      <c r="BL24" s="18" t="str">
        <f t="shared" si="6"/>
        <v/>
      </c>
      <c r="BM24" s="18" t="str">
        <f t="shared" si="7"/>
        <v/>
      </c>
      <c r="BN24" s="18" t="str">
        <f t="shared" si="8"/>
        <v/>
      </c>
    </row>
    <row r="25" spans="1:66" ht="8.25" customHeight="1">
      <c r="A25" s="1"/>
      <c r="B25" s="2"/>
      <c r="C25" s="3"/>
      <c r="D25" s="101"/>
      <c r="E25" s="4"/>
      <c r="F25" s="102"/>
      <c r="G25" s="2"/>
      <c r="H25" s="12"/>
      <c r="I25" s="12"/>
      <c r="J25" s="2"/>
      <c r="K25" s="12"/>
      <c r="L25" s="251"/>
      <c r="M25" s="252"/>
      <c r="N25" s="218"/>
      <c r="O25" s="2"/>
      <c r="P25" s="95"/>
      <c r="Q25" s="12"/>
      <c r="R25" s="2"/>
      <c r="S25" s="2"/>
      <c r="T25" s="2"/>
      <c r="U25" s="12"/>
      <c r="V25" s="13"/>
      <c r="W25" s="9"/>
      <c r="X25" s="10"/>
      <c r="Y25" s="11"/>
      <c r="Z25" s="12"/>
      <c r="AA25" s="12"/>
      <c r="AB25" s="12"/>
      <c r="AC25" s="12"/>
      <c r="AD25" s="12"/>
      <c r="AE25" s="12"/>
      <c r="AF25" s="12"/>
      <c r="AG25" s="12"/>
      <c r="AH25" s="103"/>
      <c r="AI25" s="102"/>
      <c r="AJ25" s="12"/>
      <c r="AK25" s="12"/>
      <c r="AL25" s="2"/>
      <c r="AM25" s="12"/>
      <c r="AN25" s="12"/>
      <c r="AO25" s="12"/>
      <c r="AP25" s="12"/>
      <c r="AQ25" s="12"/>
      <c r="AR25" s="13"/>
      <c r="AS25" s="11"/>
      <c r="AT25" s="12"/>
      <c r="AU25" s="4"/>
      <c r="AV25" s="14"/>
      <c r="AW25" s="2"/>
      <c r="AX25" s="95"/>
      <c r="AY25" s="2"/>
      <c r="AZ25" s="95"/>
      <c r="BA25" s="104"/>
      <c r="BB25" s="18"/>
      <c r="BC25" s="18" t="str">
        <f t="shared" si="0"/>
        <v/>
      </c>
      <c r="BD25" s="18" t="str">
        <f t="shared" si="1"/>
        <v/>
      </c>
      <c r="BE25" s="18" t="str">
        <f t="shared" si="2"/>
        <v/>
      </c>
      <c r="BF25" s="18"/>
      <c r="BG25" s="18"/>
      <c r="BH25" s="18"/>
      <c r="BI25" s="18" t="str">
        <f t="shared" si="3"/>
        <v/>
      </c>
      <c r="BJ25" s="18" t="str">
        <f t="shared" si="4"/>
        <v/>
      </c>
      <c r="BK25" s="18" t="str">
        <f t="shared" si="5"/>
        <v/>
      </c>
      <c r="BL25" s="18" t="str">
        <f t="shared" si="6"/>
        <v/>
      </c>
      <c r="BM25" s="18" t="str">
        <f t="shared" si="7"/>
        <v/>
      </c>
      <c r="BN25" s="18" t="str">
        <f t="shared" si="8"/>
        <v/>
      </c>
    </row>
    <row r="26" spans="1:66" ht="8.25" customHeight="1">
      <c r="A26" s="1"/>
      <c r="B26" s="2"/>
      <c r="C26" s="3"/>
      <c r="D26" s="101"/>
      <c r="E26" s="4"/>
      <c r="F26" s="102"/>
      <c r="G26" s="2"/>
      <c r="H26" s="12"/>
      <c r="I26" s="12"/>
      <c r="J26" s="2"/>
      <c r="K26" s="12"/>
      <c r="L26" s="251"/>
      <c r="M26" s="252"/>
      <c r="N26" s="218"/>
      <c r="O26" s="2"/>
      <c r="P26" s="95"/>
      <c r="Q26" s="12"/>
      <c r="R26" s="2"/>
      <c r="S26" s="2"/>
      <c r="T26" s="2"/>
      <c r="U26" s="12"/>
      <c r="V26" s="13"/>
      <c r="W26" s="9"/>
      <c r="X26" s="10"/>
      <c r="Y26" s="11"/>
      <c r="Z26" s="12"/>
      <c r="AA26" s="12"/>
      <c r="AB26" s="12"/>
      <c r="AC26" s="12"/>
      <c r="AD26" s="12"/>
      <c r="AE26" s="12"/>
      <c r="AF26" s="12"/>
      <c r="AG26" s="12"/>
      <c r="AH26" s="103"/>
      <c r="AI26" s="102"/>
      <c r="AJ26" s="12"/>
      <c r="AK26" s="12"/>
      <c r="AL26" s="2"/>
      <c r="AM26" s="12"/>
      <c r="AN26" s="12"/>
      <c r="AO26" s="12"/>
      <c r="AP26" s="12"/>
      <c r="AQ26" s="12"/>
      <c r="AR26" s="13"/>
      <c r="AS26" s="11"/>
      <c r="AT26" s="12"/>
      <c r="AU26" s="4"/>
      <c r="AV26" s="14"/>
      <c r="AW26" s="2"/>
      <c r="AX26" s="95"/>
      <c r="AY26" s="2"/>
      <c r="AZ26" s="95"/>
      <c r="BA26" s="104"/>
      <c r="BB26" s="18"/>
      <c r="BC26" s="18" t="str">
        <f t="shared" si="0"/>
        <v/>
      </c>
      <c r="BD26" s="18" t="str">
        <f t="shared" si="1"/>
        <v/>
      </c>
      <c r="BE26" s="18" t="str">
        <f t="shared" si="2"/>
        <v/>
      </c>
      <c r="BF26" s="18"/>
      <c r="BG26" s="18"/>
      <c r="BH26" s="18"/>
      <c r="BI26" s="18" t="str">
        <f t="shared" si="3"/>
        <v/>
      </c>
      <c r="BJ26" s="18" t="str">
        <f t="shared" si="4"/>
        <v/>
      </c>
      <c r="BK26" s="18" t="str">
        <f t="shared" si="5"/>
        <v/>
      </c>
      <c r="BL26" s="18" t="str">
        <f t="shared" si="6"/>
        <v/>
      </c>
      <c r="BM26" s="18" t="str">
        <f t="shared" si="7"/>
        <v/>
      </c>
      <c r="BN26" s="18" t="str">
        <f t="shared" si="8"/>
        <v/>
      </c>
    </row>
    <row r="27" spans="1:66" ht="8.25" customHeight="1">
      <c r="A27" s="1"/>
      <c r="B27" s="2"/>
      <c r="C27" s="3"/>
      <c r="D27" s="101"/>
      <c r="E27" s="4"/>
      <c r="F27" s="102"/>
      <c r="G27" s="2"/>
      <c r="H27" s="12"/>
      <c r="I27" s="12"/>
      <c r="J27" s="2"/>
      <c r="K27" s="12"/>
      <c r="L27" s="251"/>
      <c r="M27" s="252"/>
      <c r="N27" s="218"/>
      <c r="O27" s="2"/>
      <c r="P27" s="95"/>
      <c r="Q27" s="12"/>
      <c r="R27" s="2"/>
      <c r="S27" s="2"/>
      <c r="T27" s="2"/>
      <c r="U27" s="12"/>
      <c r="V27" s="13"/>
      <c r="W27" s="9"/>
      <c r="X27" s="10"/>
      <c r="Y27" s="11"/>
      <c r="Z27" s="12"/>
      <c r="AA27" s="12"/>
      <c r="AB27" s="12"/>
      <c r="AC27" s="12"/>
      <c r="AD27" s="12"/>
      <c r="AE27" s="12"/>
      <c r="AF27" s="12"/>
      <c r="AG27" s="12"/>
      <c r="AH27" s="103"/>
      <c r="AI27" s="102"/>
      <c r="AJ27" s="12"/>
      <c r="AK27" s="12"/>
      <c r="AL27" s="2"/>
      <c r="AM27" s="12"/>
      <c r="AN27" s="12"/>
      <c r="AO27" s="12"/>
      <c r="AP27" s="12"/>
      <c r="AQ27" s="12"/>
      <c r="AR27" s="13"/>
      <c r="AS27" s="11"/>
      <c r="AT27" s="12"/>
      <c r="AU27" s="4"/>
      <c r="AV27" s="14"/>
      <c r="AW27" s="2"/>
      <c r="AX27" s="95"/>
      <c r="AY27" s="2"/>
      <c r="AZ27" s="95"/>
      <c r="BA27" s="104"/>
      <c r="BB27" s="18"/>
      <c r="BC27" s="18" t="str">
        <f t="shared" si="0"/>
        <v/>
      </c>
      <c r="BD27" s="18" t="str">
        <f t="shared" si="1"/>
        <v/>
      </c>
      <c r="BE27" s="18" t="str">
        <f t="shared" si="2"/>
        <v/>
      </c>
      <c r="BF27" s="18"/>
      <c r="BG27" s="18"/>
      <c r="BH27" s="18"/>
      <c r="BI27" s="18" t="str">
        <f t="shared" si="3"/>
        <v/>
      </c>
      <c r="BJ27" s="18" t="str">
        <f t="shared" si="4"/>
        <v/>
      </c>
      <c r="BK27" s="18" t="str">
        <f t="shared" si="5"/>
        <v/>
      </c>
      <c r="BL27" s="18" t="str">
        <f t="shared" si="6"/>
        <v/>
      </c>
      <c r="BM27" s="18" t="str">
        <f t="shared" si="7"/>
        <v/>
      </c>
      <c r="BN27" s="18" t="str">
        <f t="shared" si="8"/>
        <v/>
      </c>
    </row>
    <row r="28" spans="1:66" ht="8.25" customHeight="1">
      <c r="A28" s="1"/>
      <c r="B28" s="2"/>
      <c r="C28" s="3"/>
      <c r="D28" s="101"/>
      <c r="E28" s="4"/>
      <c r="F28" s="102"/>
      <c r="G28" s="2"/>
      <c r="H28" s="12"/>
      <c r="I28" s="12"/>
      <c r="J28" s="2"/>
      <c r="K28" s="12"/>
      <c r="L28" s="251"/>
      <c r="M28" s="252"/>
      <c r="N28" s="218"/>
      <c r="O28" s="2"/>
      <c r="P28" s="95"/>
      <c r="Q28" s="12"/>
      <c r="R28" s="2"/>
      <c r="S28" s="2"/>
      <c r="T28" s="2"/>
      <c r="U28" s="12"/>
      <c r="V28" s="13"/>
      <c r="W28" s="9"/>
      <c r="X28" s="10"/>
      <c r="Y28" s="11"/>
      <c r="Z28" s="12"/>
      <c r="AA28" s="12"/>
      <c r="AB28" s="12"/>
      <c r="AC28" s="12"/>
      <c r="AD28" s="12"/>
      <c r="AE28" s="12"/>
      <c r="AF28" s="12"/>
      <c r="AG28" s="12"/>
      <c r="AH28" s="103"/>
      <c r="AI28" s="102"/>
      <c r="AJ28" s="12"/>
      <c r="AK28" s="12"/>
      <c r="AL28" s="2"/>
      <c r="AM28" s="12"/>
      <c r="AN28" s="12"/>
      <c r="AO28" s="12"/>
      <c r="AP28" s="12"/>
      <c r="AQ28" s="12"/>
      <c r="AR28" s="13"/>
      <c r="AS28" s="11"/>
      <c r="AT28" s="12"/>
      <c r="AU28" s="4"/>
      <c r="AV28" s="14"/>
      <c r="AW28" s="2"/>
      <c r="AX28" s="95"/>
      <c r="AY28" s="2"/>
      <c r="AZ28" s="95"/>
      <c r="BA28" s="104"/>
      <c r="BB28" s="18"/>
      <c r="BC28" s="18" t="str">
        <f t="shared" si="0"/>
        <v/>
      </c>
      <c r="BD28" s="18" t="str">
        <f t="shared" si="1"/>
        <v/>
      </c>
      <c r="BE28" s="18" t="str">
        <f t="shared" si="2"/>
        <v/>
      </c>
      <c r="BF28" s="18"/>
      <c r="BG28" s="18"/>
      <c r="BH28" s="18"/>
      <c r="BI28" s="18" t="str">
        <f t="shared" si="3"/>
        <v/>
      </c>
      <c r="BJ28" s="18" t="str">
        <f t="shared" si="4"/>
        <v/>
      </c>
      <c r="BK28" s="18" t="str">
        <f t="shared" si="5"/>
        <v/>
      </c>
      <c r="BL28" s="18" t="str">
        <f t="shared" si="6"/>
        <v/>
      </c>
      <c r="BM28" s="18" t="str">
        <f t="shared" si="7"/>
        <v/>
      </c>
      <c r="BN28" s="18" t="str">
        <f t="shared" si="8"/>
        <v/>
      </c>
    </row>
    <row r="29" spans="1:66" ht="8.25" customHeight="1" thickBot="1">
      <c r="A29" s="31"/>
      <c r="B29" s="39"/>
      <c r="C29" s="40"/>
      <c r="D29" s="34"/>
      <c r="E29" s="105"/>
      <c r="F29" s="106"/>
      <c r="G29" s="32"/>
      <c r="H29" s="39"/>
      <c r="I29" s="39"/>
      <c r="J29" s="32"/>
      <c r="K29" s="39"/>
      <c r="L29" s="38"/>
      <c r="M29" s="253"/>
      <c r="N29" s="254"/>
      <c r="O29" s="32"/>
      <c r="P29" s="37"/>
      <c r="Q29" s="39"/>
      <c r="R29" s="39"/>
      <c r="S29" s="39"/>
      <c r="T29" s="39"/>
      <c r="U29" s="32"/>
      <c r="V29" s="40"/>
      <c r="W29" s="41"/>
      <c r="X29" s="42"/>
      <c r="Y29" s="43"/>
      <c r="Z29" s="39"/>
      <c r="AA29" s="39"/>
      <c r="AB29" s="39"/>
      <c r="AC29" s="39"/>
      <c r="AD29" s="39"/>
      <c r="AE29" s="39"/>
      <c r="AF29" s="39"/>
      <c r="AG29" s="39"/>
      <c r="AH29" s="105"/>
      <c r="AI29" s="106"/>
      <c r="AJ29" s="39"/>
      <c r="AK29" s="39"/>
      <c r="AL29" s="39"/>
      <c r="AM29" s="39"/>
      <c r="AN29" s="39"/>
      <c r="AO29" s="39"/>
      <c r="AP29" s="39"/>
      <c r="AQ29" s="39"/>
      <c r="AR29" s="40"/>
      <c r="AS29" s="43"/>
      <c r="AT29" s="39"/>
      <c r="AU29" s="35"/>
      <c r="AV29" s="43"/>
      <c r="AW29" s="32"/>
      <c r="AX29" s="32"/>
      <c r="AY29" s="32"/>
      <c r="AZ29" s="37"/>
      <c r="BA29" s="44"/>
      <c r="BB29" s="18"/>
      <c r="BC29" s="18" t="str">
        <f t="shared" si="0"/>
        <v/>
      </c>
      <c r="BD29" s="18" t="str">
        <f t="shared" si="1"/>
        <v/>
      </c>
      <c r="BE29" s="18" t="str">
        <f t="shared" si="2"/>
        <v/>
      </c>
      <c r="BF29" s="18"/>
      <c r="BG29" s="18"/>
      <c r="BH29" s="18"/>
      <c r="BI29" s="18" t="str">
        <f t="shared" si="3"/>
        <v/>
      </c>
      <c r="BJ29" s="18" t="str">
        <f t="shared" si="4"/>
        <v/>
      </c>
      <c r="BK29" s="18" t="str">
        <f t="shared" si="5"/>
        <v/>
      </c>
      <c r="BL29" s="18" t="str">
        <f t="shared" si="6"/>
        <v/>
      </c>
      <c r="BM29" s="18" t="str">
        <f t="shared" si="7"/>
        <v/>
      </c>
      <c r="BN29" s="18" t="str">
        <f t="shared" si="8"/>
        <v/>
      </c>
    </row>
    <row r="30" spans="1:66" ht="9" customHeight="1" thickBot="1">
      <c r="A30" s="78"/>
      <c r="B30" s="74"/>
      <c r="C30" s="18"/>
      <c r="D30" s="78"/>
      <c r="E30" s="78"/>
      <c r="F30" s="79"/>
      <c r="G30" s="18"/>
      <c r="H30" s="79"/>
      <c r="I30" s="78"/>
      <c r="J30" s="75"/>
      <c r="K30" s="78"/>
      <c r="L30" s="337"/>
      <c r="M30" s="368"/>
      <c r="N30" s="368"/>
      <c r="O30" s="78"/>
      <c r="P30" s="78"/>
      <c r="Q30" s="78"/>
      <c r="R30" s="78"/>
      <c r="S30" s="78"/>
      <c r="T30" s="78"/>
      <c r="U30" s="79"/>
      <c r="V30" s="78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 spans="1:66" ht="8.25" customHeight="1">
      <c r="A31" s="78"/>
      <c r="B31" s="74"/>
      <c r="C31" s="78"/>
      <c r="D31" s="78"/>
      <c r="E31" s="78"/>
      <c r="F31" s="79"/>
      <c r="G31" s="18"/>
      <c r="H31" s="79"/>
      <c r="I31" s="78"/>
      <c r="J31" s="75"/>
      <c r="K31" s="78"/>
      <c r="L31" s="337"/>
      <c r="M31" s="368"/>
      <c r="N31" s="368"/>
      <c r="O31" s="78"/>
      <c r="P31" s="78"/>
      <c r="Q31" s="78"/>
      <c r="R31" s="78"/>
      <c r="S31" s="78"/>
      <c r="T31" s="78"/>
      <c r="U31" s="79"/>
      <c r="V31" s="78"/>
      <c r="W31" s="79"/>
      <c r="X31" s="144" t="s">
        <v>59</v>
      </c>
      <c r="Y31" s="45">
        <f>AVERAGE(Y$5:Y29)</f>
        <v>0</v>
      </c>
      <c r="Z31" s="45">
        <f>AVERAGE(Z$5:Z29)</f>
        <v>0</v>
      </c>
      <c r="AA31" s="45">
        <f>AVERAGE(AA$5:AA29)</f>
        <v>0</v>
      </c>
      <c r="AB31" s="45">
        <f>AVERAGE(AB$5:AB29)</f>
        <v>0</v>
      </c>
      <c r="AC31" s="45">
        <f>AVERAGE(AC$5:AC29)</f>
        <v>0</v>
      </c>
      <c r="AD31" s="45">
        <f>AVERAGE(AD$5:AD29)</f>
        <v>0</v>
      </c>
      <c r="AE31" s="45" t="s">
        <v>57</v>
      </c>
      <c r="AF31" s="45" t="s">
        <v>57</v>
      </c>
      <c r="AG31" s="45">
        <f>AVERAGE(AG$5:AG29)</f>
        <v>1.125</v>
      </c>
      <c r="AH31" s="45">
        <f>AVERAGE(AH$5:AH29)</f>
        <v>10</v>
      </c>
      <c r="AI31" s="45">
        <f>AVERAGE(AI$5:AI29)</f>
        <v>0</v>
      </c>
      <c r="AJ31" s="45">
        <f>AVERAGE(AJ$5:AJ29)</f>
        <v>0</v>
      </c>
      <c r="AK31" s="45">
        <f>AVERAGE(AK$5:AK29)</f>
        <v>0</v>
      </c>
      <c r="AL31" s="45">
        <f>AVERAGE(AL$5:AL29)</f>
        <v>0</v>
      </c>
      <c r="AM31" s="45">
        <f>AVERAGE(AM$5:AM29)</f>
        <v>0</v>
      </c>
      <c r="AN31" s="45">
        <f>AVERAGE(AN$5:AN29)</f>
        <v>0</v>
      </c>
      <c r="AO31" s="45" t="s">
        <v>57</v>
      </c>
      <c r="AP31" s="45" t="s">
        <v>57</v>
      </c>
      <c r="AQ31" s="45">
        <f>AVERAGE(AQ$5:AQ29)</f>
        <v>2.5714285714285716</v>
      </c>
      <c r="AR31" s="46">
        <f>AVERAGE(AR$5:AR29)</f>
        <v>17.142857142857142</v>
      </c>
      <c r="AS31" s="80"/>
      <c r="AT31" s="79"/>
      <c r="AU31" s="79"/>
      <c r="AV31" s="47" t="s">
        <v>60</v>
      </c>
      <c r="AW31" s="45" t="s">
        <v>61</v>
      </c>
      <c r="AX31" s="45" t="s">
        <v>62</v>
      </c>
      <c r="AY31" s="46" t="s">
        <v>41</v>
      </c>
      <c r="AZ31" s="79"/>
      <c r="BA31" s="79"/>
      <c r="BB31" s="79"/>
      <c r="BC31" s="76">
        <f t="shared" ref="BC31:BN31" si="9">SUM(BC5:BC29)</f>
        <v>33000</v>
      </c>
      <c r="BD31" s="76">
        <f t="shared" si="9"/>
        <v>66</v>
      </c>
      <c r="BE31" s="76">
        <f t="shared" si="9"/>
        <v>0</v>
      </c>
      <c r="BF31" s="76">
        <f t="shared" si="9"/>
        <v>0</v>
      </c>
      <c r="BG31" s="76">
        <f t="shared" si="9"/>
        <v>0</v>
      </c>
      <c r="BH31" s="76">
        <f t="shared" si="9"/>
        <v>0</v>
      </c>
      <c r="BI31" s="76">
        <f t="shared" si="9"/>
        <v>44000</v>
      </c>
      <c r="BJ31" s="76">
        <f t="shared" si="9"/>
        <v>44</v>
      </c>
      <c r="BK31" s="76">
        <f t="shared" si="9"/>
        <v>0</v>
      </c>
      <c r="BL31" s="76">
        <f t="shared" si="9"/>
        <v>4224</v>
      </c>
      <c r="BM31" s="76">
        <f t="shared" si="9"/>
        <v>44</v>
      </c>
      <c r="BN31" s="76">
        <f t="shared" si="9"/>
        <v>0</v>
      </c>
    </row>
    <row r="32" spans="1:66" ht="8.25" customHeight="1">
      <c r="A32" s="78"/>
      <c r="B32" s="74"/>
      <c r="C32" s="78"/>
      <c r="D32" s="78"/>
      <c r="E32" s="78"/>
      <c r="F32" s="79"/>
      <c r="G32" s="18"/>
      <c r="H32" s="79"/>
      <c r="I32" s="78"/>
      <c r="J32" s="75"/>
      <c r="K32" s="78"/>
      <c r="L32" s="337"/>
      <c r="M32" s="368"/>
      <c r="N32" s="368"/>
      <c r="O32" s="78"/>
      <c r="P32" s="78"/>
      <c r="Q32" s="78"/>
      <c r="R32" s="78"/>
      <c r="S32" s="78"/>
      <c r="T32" s="78"/>
      <c r="U32" s="79"/>
      <c r="V32" s="78"/>
      <c r="W32" s="79"/>
      <c r="X32" s="145" t="s">
        <v>63</v>
      </c>
      <c r="Y32" s="2">
        <f>MIN(Y$5:Y29)</f>
        <v>0</v>
      </c>
      <c r="Z32" s="2">
        <f>MIN(Z$5:Z29)</f>
        <v>0</v>
      </c>
      <c r="AA32" s="2">
        <f>MIN(AA$5:AA29)</f>
        <v>0</v>
      </c>
      <c r="AB32" s="2">
        <f>MIN(AB$5:AB29)</f>
        <v>0</v>
      </c>
      <c r="AC32" s="2">
        <f>MIN(AC$5:AC29)</f>
        <v>0</v>
      </c>
      <c r="AD32" s="2">
        <f>MIN(AD$5:AD29)</f>
        <v>0</v>
      </c>
      <c r="AE32" s="2" t="s">
        <v>57</v>
      </c>
      <c r="AF32" s="2" t="s">
        <v>57</v>
      </c>
      <c r="AG32" s="2">
        <f>MIN(AG$5:AG29)</f>
        <v>0</v>
      </c>
      <c r="AH32" s="2">
        <f>MIN(AH$5:AH29)</f>
        <v>0</v>
      </c>
      <c r="AI32" s="2">
        <f>MIN(AI$5:AI29)</f>
        <v>0</v>
      </c>
      <c r="AJ32" s="2">
        <f>MIN(AJ$5:AJ29)</f>
        <v>0</v>
      </c>
      <c r="AK32" s="2">
        <f>MIN(AK$5:AK29)</f>
        <v>0</v>
      </c>
      <c r="AL32" s="2">
        <f>MIN(AL$5:AL29)</f>
        <v>0</v>
      </c>
      <c r="AM32" s="2">
        <f>MIN(AM$5:AM29)</f>
        <v>0</v>
      </c>
      <c r="AN32" s="2">
        <f>MIN(AN$5:AN29)</f>
        <v>0</v>
      </c>
      <c r="AO32" s="2" t="s">
        <v>57</v>
      </c>
      <c r="AP32" s="2" t="s">
        <v>57</v>
      </c>
      <c r="AQ32" s="2">
        <f>MIN(AQ$5:AQ29)</f>
        <v>0</v>
      </c>
      <c r="AR32" s="29">
        <f>MIN(AR$5:AR29)</f>
        <v>0</v>
      </c>
      <c r="AS32" s="80"/>
      <c r="AT32" s="79"/>
      <c r="AU32" s="79"/>
      <c r="AV32" s="48" t="s">
        <v>64</v>
      </c>
      <c r="AW32" s="2" t="s">
        <v>65</v>
      </c>
      <c r="AX32" s="2">
        <f>SUM(AT5:AT29)</f>
        <v>176</v>
      </c>
      <c r="AY32" s="29">
        <f>SUM(AS5:AS29)</f>
        <v>0</v>
      </c>
      <c r="AZ32" s="79"/>
      <c r="BA32" s="79"/>
      <c r="BB32" s="79"/>
      <c r="BC32" s="81" t="s">
        <v>45</v>
      </c>
      <c r="BD32" s="81" t="s">
        <v>46</v>
      </c>
      <c r="BE32" s="81" t="s">
        <v>47</v>
      </c>
      <c r="BF32" s="81" t="s">
        <v>48</v>
      </c>
      <c r="BG32" s="81" t="s">
        <v>49</v>
      </c>
      <c r="BH32" s="81" t="s">
        <v>50</v>
      </c>
      <c r="BI32" s="81" t="s">
        <v>51</v>
      </c>
      <c r="BJ32" s="81" t="s">
        <v>52</v>
      </c>
      <c r="BK32" s="81" t="s">
        <v>53</v>
      </c>
      <c r="BL32" s="81" t="s">
        <v>54</v>
      </c>
      <c r="BM32" s="77" t="s">
        <v>55</v>
      </c>
      <c r="BN32" s="81" t="s">
        <v>56</v>
      </c>
    </row>
    <row r="33" spans="1:66" ht="8.25" customHeight="1">
      <c r="A33" s="78"/>
      <c r="B33" s="74"/>
      <c r="C33" s="78"/>
      <c r="D33" s="78"/>
      <c r="E33" s="78"/>
      <c r="F33" s="79"/>
      <c r="G33" s="18"/>
      <c r="H33" s="79"/>
      <c r="I33" s="78"/>
      <c r="J33" s="75"/>
      <c r="K33" s="78"/>
      <c r="L33" s="337"/>
      <c r="M33" s="368"/>
      <c r="N33" s="368"/>
      <c r="O33" s="78"/>
      <c r="P33" s="78"/>
      <c r="Q33" s="78"/>
      <c r="R33" s="78"/>
      <c r="S33" s="78"/>
      <c r="T33" s="78"/>
      <c r="U33" s="79"/>
      <c r="V33" s="78"/>
      <c r="W33" s="79"/>
      <c r="X33" s="145" t="s">
        <v>146</v>
      </c>
      <c r="Y33" s="2">
        <f>MAX(Y$5:Y29)</f>
        <v>0</v>
      </c>
      <c r="Z33" s="2">
        <f>MAX(Z$5:Z29)</f>
        <v>0</v>
      </c>
      <c r="AA33" s="2">
        <f>MAX(AA$5:AA29)</f>
        <v>0</v>
      </c>
      <c r="AB33" s="2">
        <f>MAX(AB$5:AB29)</f>
        <v>0</v>
      </c>
      <c r="AC33" s="2">
        <f>MAX(AC$5:AC29)</f>
        <v>0</v>
      </c>
      <c r="AD33" s="2">
        <f>MAX(AD$5:AD29)</f>
        <v>0</v>
      </c>
      <c r="AE33" s="2" t="s">
        <v>57</v>
      </c>
      <c r="AF33" s="2" t="s">
        <v>57</v>
      </c>
      <c r="AG33" s="2">
        <f>MAX(AG$5:AG29)</f>
        <v>6</v>
      </c>
      <c r="AH33" s="2">
        <f>MAX(AH$5:AH29)</f>
        <v>50</v>
      </c>
      <c r="AI33" s="2">
        <f>MAX(AI$5:AI29)</f>
        <v>0</v>
      </c>
      <c r="AJ33" s="2">
        <f>MAX(AJ$5:AJ29)</f>
        <v>0</v>
      </c>
      <c r="AK33" s="2">
        <f>MAX(AK$5:AK29)</f>
        <v>0</v>
      </c>
      <c r="AL33" s="2">
        <f>MAX(AL$5:AL29)</f>
        <v>0</v>
      </c>
      <c r="AM33" s="2">
        <f>MAX(AM$5:AM29)</f>
        <v>0</v>
      </c>
      <c r="AN33" s="2">
        <f>MAX(AN$5:AN29)</f>
        <v>0</v>
      </c>
      <c r="AO33" s="2" t="s">
        <v>57</v>
      </c>
      <c r="AP33" s="2" t="s">
        <v>57</v>
      </c>
      <c r="AQ33" s="2">
        <f>MAX(AQ$5:AQ29)</f>
        <v>12</v>
      </c>
      <c r="AR33" s="29">
        <f>MAX(AR$5:AR29)</f>
        <v>70</v>
      </c>
      <c r="AS33" s="80"/>
      <c r="AT33" s="79"/>
      <c r="AU33" s="79"/>
      <c r="AV33" s="48" t="s">
        <v>46</v>
      </c>
      <c r="AW33" s="2">
        <f>BC31</f>
        <v>33000</v>
      </c>
      <c r="AX33" s="2">
        <f>BD31</f>
        <v>66</v>
      </c>
      <c r="AY33" s="29">
        <f>BE31</f>
        <v>0</v>
      </c>
      <c r="AZ33" s="79"/>
      <c r="BA33" s="79"/>
      <c r="BB33" s="79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</row>
    <row r="34" spans="1:66" ht="8.25" customHeight="1">
      <c r="A34" s="78"/>
      <c r="B34" s="74"/>
      <c r="C34" s="78"/>
      <c r="D34" s="78"/>
      <c r="E34" s="78"/>
      <c r="F34" s="79"/>
      <c r="G34" s="18"/>
      <c r="H34" s="79"/>
      <c r="I34" s="78"/>
      <c r="J34" s="75"/>
      <c r="K34" s="78"/>
      <c r="L34" s="18"/>
      <c r="M34" s="18"/>
      <c r="N34" s="18"/>
      <c r="O34" s="78"/>
      <c r="P34" s="78"/>
      <c r="Q34" s="78"/>
      <c r="R34" s="78"/>
      <c r="S34" s="78"/>
      <c r="T34" s="78"/>
      <c r="U34" s="79"/>
      <c r="V34" s="78"/>
      <c r="W34" s="79"/>
      <c r="X34" s="145" t="s">
        <v>66</v>
      </c>
      <c r="Y34" s="2">
        <f>STDEV(Y$5:Y29)</f>
        <v>0</v>
      </c>
      <c r="Z34" s="2">
        <f>STDEV(Z$5:Z29)</f>
        <v>0</v>
      </c>
      <c r="AA34" s="2">
        <f>STDEV(AA$5:AA29)</f>
        <v>0</v>
      </c>
      <c r="AB34" s="2">
        <f>STDEV(AB$5:AB29)</f>
        <v>0</v>
      </c>
      <c r="AC34" s="2">
        <f>STDEV(AC$5:AC29)</f>
        <v>0</v>
      </c>
      <c r="AD34" s="2">
        <f>STDEV(AD$5:AD29)</f>
        <v>0</v>
      </c>
      <c r="AE34" s="2" t="s">
        <v>57</v>
      </c>
      <c r="AF34" s="2" t="s">
        <v>57</v>
      </c>
      <c r="AG34" s="2">
        <f>STDEV(AG$5:AG29)</f>
        <v>2.2320714274285347</v>
      </c>
      <c r="AH34" s="2">
        <f>STDEV(AH$5:AH29)</f>
        <v>19.272482233188629</v>
      </c>
      <c r="AI34" s="2">
        <f>STDEV(AI$5:AI29)</f>
        <v>0</v>
      </c>
      <c r="AJ34" s="2">
        <f>STDEV(AJ$5:AJ29)</f>
        <v>0</v>
      </c>
      <c r="AK34" s="2">
        <f>STDEV(AK$5:AK29)</f>
        <v>0</v>
      </c>
      <c r="AL34" s="2">
        <f>STDEV(AL$5:AL29)</f>
        <v>0</v>
      </c>
      <c r="AM34" s="2">
        <f>STDEV(AM$5:AM29)</f>
        <v>0</v>
      </c>
      <c r="AN34" s="2">
        <f>STDEV(AN$5:AN29)</f>
        <v>0</v>
      </c>
      <c r="AO34" s="2" t="s">
        <v>57</v>
      </c>
      <c r="AP34" s="2" t="s">
        <v>57</v>
      </c>
      <c r="AQ34" s="2">
        <f>STDEV(AQ$5:AQ29)</f>
        <v>4.7207747548166594</v>
      </c>
      <c r="AR34" s="29">
        <f>STDEV(AR$5:AR29)</f>
        <v>29.840847683606285</v>
      </c>
      <c r="AS34" s="80"/>
      <c r="AT34" s="79"/>
      <c r="AU34" s="79"/>
      <c r="AV34" s="48" t="s">
        <v>49</v>
      </c>
      <c r="AW34" s="2">
        <f>BF31</f>
        <v>0</v>
      </c>
      <c r="AX34" s="2">
        <f>BG31</f>
        <v>0</v>
      </c>
      <c r="AY34" s="29">
        <f>BH31</f>
        <v>0</v>
      </c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</row>
    <row r="35" spans="1:66" ht="9" customHeight="1" thickBot="1">
      <c r="A35" s="78"/>
      <c r="B35" s="74"/>
      <c r="C35" s="78"/>
      <c r="D35" s="78"/>
      <c r="E35" s="78"/>
      <c r="F35" s="79"/>
      <c r="G35" s="18"/>
      <c r="H35" s="79"/>
      <c r="I35" s="78"/>
      <c r="J35" s="75"/>
      <c r="K35" s="78"/>
      <c r="L35" s="18"/>
      <c r="M35" s="18"/>
      <c r="N35" s="18"/>
      <c r="O35" s="78"/>
      <c r="P35" s="78"/>
      <c r="Q35" s="78"/>
      <c r="R35" s="78"/>
      <c r="S35" s="78"/>
      <c r="T35" s="78"/>
      <c r="U35" s="79"/>
      <c r="V35" s="78"/>
      <c r="W35" s="79"/>
      <c r="X35" s="146" t="s">
        <v>67</v>
      </c>
      <c r="Y35" s="32">
        <f t="shared" ref="Y35:AD35" si="10">IF(Y31+(3*Y34)&gt;100,100,Y31+(3*Y34))</f>
        <v>0</v>
      </c>
      <c r="Z35" s="32">
        <f t="shared" si="10"/>
        <v>0</v>
      </c>
      <c r="AA35" s="32">
        <f t="shared" si="10"/>
        <v>0</v>
      </c>
      <c r="AB35" s="32">
        <f t="shared" si="10"/>
        <v>0</v>
      </c>
      <c r="AC35" s="32">
        <f t="shared" si="10"/>
        <v>0</v>
      </c>
      <c r="AD35" s="32">
        <f t="shared" si="10"/>
        <v>0</v>
      </c>
      <c r="AE35" s="32" t="s">
        <v>57</v>
      </c>
      <c r="AF35" s="32" t="s">
        <v>57</v>
      </c>
      <c r="AG35" s="32">
        <f t="shared" ref="AG35:AN35" si="11">IF(AG31+(3*AG34)&gt;100,100,AG31+(3*AG34))</f>
        <v>7.8212142822856041</v>
      </c>
      <c r="AH35" s="32">
        <f t="shared" si="11"/>
        <v>67.817446699565892</v>
      </c>
      <c r="AI35" s="32">
        <f t="shared" si="11"/>
        <v>0</v>
      </c>
      <c r="AJ35" s="32">
        <f t="shared" si="11"/>
        <v>0</v>
      </c>
      <c r="AK35" s="32">
        <f t="shared" si="11"/>
        <v>0</v>
      </c>
      <c r="AL35" s="32">
        <f t="shared" si="11"/>
        <v>0</v>
      </c>
      <c r="AM35" s="32">
        <f t="shared" si="11"/>
        <v>0</v>
      </c>
      <c r="AN35" s="32">
        <f t="shared" si="11"/>
        <v>0</v>
      </c>
      <c r="AO35" s="32" t="s">
        <v>57</v>
      </c>
      <c r="AP35" s="32" t="s">
        <v>57</v>
      </c>
      <c r="AQ35" s="32">
        <f>IF(AQ31+(3*AQ34)&gt;100,100,AQ31+(3*AQ34))</f>
        <v>16.733752835878551</v>
      </c>
      <c r="AR35" s="49">
        <f>IF(AR31+(3*AR34)&gt;100,100,AR31+(3*AR34))</f>
        <v>100</v>
      </c>
      <c r="AS35" s="80"/>
      <c r="AT35" s="79"/>
      <c r="AU35" s="79"/>
      <c r="AV35" s="48" t="s">
        <v>52</v>
      </c>
      <c r="AW35" s="2">
        <f>BI31</f>
        <v>44000</v>
      </c>
      <c r="AX35" s="2">
        <f>BJ31</f>
        <v>44</v>
      </c>
      <c r="AY35" s="29">
        <f>BK31</f>
        <v>0</v>
      </c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</row>
    <row r="36" spans="1:66" ht="9" customHeight="1" thickBot="1">
      <c r="A36" s="78"/>
      <c r="B36" s="74"/>
      <c r="C36" s="78"/>
      <c r="D36" s="78"/>
      <c r="E36" s="78"/>
      <c r="F36" s="79"/>
      <c r="G36" s="18"/>
      <c r="H36" s="79"/>
      <c r="I36" s="78"/>
      <c r="J36" s="75"/>
      <c r="K36" s="78"/>
      <c r="L36" s="18"/>
      <c r="M36" s="18"/>
      <c r="N36" s="18"/>
      <c r="O36" s="78"/>
      <c r="P36" s="78"/>
      <c r="Q36" s="78"/>
      <c r="R36" s="78"/>
      <c r="S36" s="78"/>
      <c r="T36" s="78"/>
      <c r="U36" s="79"/>
      <c r="V36" s="78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80"/>
      <c r="AO36" s="79"/>
      <c r="AP36" s="79"/>
      <c r="AQ36" s="79"/>
      <c r="AR36" s="79"/>
      <c r="AS36" s="79"/>
      <c r="AT36" s="79"/>
      <c r="AU36" s="79"/>
      <c r="AV36" s="50" t="s">
        <v>58</v>
      </c>
      <c r="AW36" s="32">
        <f>BL31</f>
        <v>4224</v>
      </c>
      <c r="AX36" s="32">
        <f>BM31</f>
        <v>44</v>
      </c>
      <c r="AY36" s="49">
        <f>BN31</f>
        <v>0</v>
      </c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18" t="str">
        <f>IF(AND($AV36="HAST",NOT(ISBLANK($AZ36))),$BA36*$AX36,"")</f>
        <v/>
      </c>
      <c r="BM36" s="18" t="str">
        <f>IF(AND($AV36="HAST",NOT(ISBLANK($AZ36))),$BA36,"")</f>
        <v/>
      </c>
      <c r="BN36" s="18" t="str">
        <f>IF(AND($AV36="HAST",NOT(ISBLANK($AZ36))),$AZ36,"")</f>
        <v/>
      </c>
    </row>
    <row r="37" spans="1:66" ht="8.25" customHeight="1">
      <c r="X37" s="18" t="s">
        <v>69</v>
      </c>
      <c r="Y37" s="73"/>
      <c r="Z37" s="73"/>
    </row>
    <row r="38" spans="1:66" ht="8.25" customHeight="1">
      <c r="X38" s="18"/>
      <c r="Y38" s="82" t="s">
        <v>70</v>
      </c>
      <c r="Z38" s="73"/>
    </row>
    <row r="39" spans="1:66" ht="8.25" customHeight="1">
      <c r="X39" s="18"/>
      <c r="Y39" s="82" t="s">
        <v>71</v>
      </c>
      <c r="Z39" s="73"/>
    </row>
    <row r="40" spans="1:66" ht="8.25" customHeight="1">
      <c r="X40" s="18"/>
      <c r="Y40" s="82" t="s">
        <v>72</v>
      </c>
      <c r="Z40" s="73"/>
    </row>
    <row r="41" spans="1:66" ht="8.25" customHeight="1">
      <c r="X41" s="18"/>
      <c r="Y41" s="82" t="s">
        <v>73</v>
      </c>
      <c r="Z41" s="73"/>
    </row>
    <row r="42" spans="1:66" ht="8.25" customHeight="1">
      <c r="X42" s="18"/>
      <c r="Y42" s="82" t="s">
        <v>74</v>
      </c>
      <c r="Z42" s="73"/>
    </row>
  </sheetData>
  <mergeCells count="43">
    <mergeCell ref="L30:N30"/>
    <mergeCell ref="L31:N31"/>
    <mergeCell ref="L32:N32"/>
    <mergeCell ref="L33:N33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28">
    <cfRule type="cellIs" dxfId="89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1"/>
  <sheetViews>
    <sheetView showGridLines="0" zoomScale="140" zoomScaleNormal="140" zoomScaleSheetLayoutView="140" workbookViewId="0">
      <pane xSplit="5" ySplit="4" topLeftCell="Y5" activePane="bottomRight" state="frozen"/>
      <selection activeCell="AP22" sqref="AP22"/>
      <selection pane="topRight" activeCell="AP22" sqref="AP22"/>
      <selection pane="bottomLeft" activeCell="AP22" sqref="AP22"/>
      <selection pane="bottomRight" activeCell="AW14" sqref="AW14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3.54296875" style="109" customWidth="1"/>
    <col min="7" max="7" width="1.54296875" style="109" customWidth="1"/>
    <col min="8" max="8" width="3.453125" style="109" customWidth="1"/>
    <col min="9" max="9" width="3.26953125" style="109" customWidth="1"/>
    <col min="10" max="10" width="1.54296875" style="109" customWidth="1"/>
    <col min="11" max="12" width="3.453125" style="109" customWidth="1"/>
    <col min="13" max="13" width="1.54296875" style="109" customWidth="1"/>
    <col min="14" max="14" width="2.81640625" style="109" customWidth="1"/>
    <col min="15" max="15" width="5.1796875" style="109" customWidth="1"/>
    <col min="16" max="16" width="7.81640625" style="109" customWidth="1"/>
    <col min="17" max="17" width="4.453125" style="109" customWidth="1"/>
    <col min="18" max="18" width="3.1796875" style="109" customWidth="1"/>
    <col min="19" max="19" width="7" style="109" customWidth="1"/>
    <col min="20" max="20" width="7.81640625" style="109" customWidth="1"/>
    <col min="21" max="21" width="2.54296875" style="109" customWidth="1"/>
    <col min="22" max="22" width="8.7265625" style="109" customWidth="1"/>
    <col min="23" max="23" width="11" style="109" customWidth="1"/>
    <col min="24" max="24" width="8.81640625" style="109" bestFit="1" customWidth="1"/>
    <col min="25" max="46" width="2.7265625" style="109" customWidth="1"/>
    <col min="47" max="47" width="5.54296875" style="109" customWidth="1"/>
    <col min="48" max="48" width="5" style="109" customWidth="1"/>
    <col min="49" max="49" width="7.54296875" style="109" customWidth="1"/>
    <col min="50" max="51" width="4.54296875" style="109" customWidth="1"/>
    <col min="52" max="52" width="2.7265625" style="109" customWidth="1"/>
    <col min="53" max="53" width="3" style="109" customWidth="1"/>
    <col min="54" max="54" width="1.26953125" style="109" customWidth="1"/>
    <col min="55" max="55" width="6.54296875" style="109" customWidth="1"/>
    <col min="56" max="56" width="3.7265625" style="109" customWidth="1"/>
    <col min="57" max="57" width="5.54296875" style="109" customWidth="1"/>
    <col min="58" max="60" width="2.81640625" style="109" hidden="1" customWidth="1"/>
    <col min="61" max="61" width="6.54296875" style="109" customWidth="1"/>
    <col min="62" max="62" width="4.26953125" style="109" customWidth="1"/>
    <col min="63" max="63" width="5.7265625" style="109" customWidth="1"/>
    <col min="64" max="64" width="6.7265625" style="109" customWidth="1"/>
    <col min="65" max="65" width="4.26953125" style="109" customWidth="1"/>
    <col min="66" max="66" width="6" style="109" customWidth="1"/>
    <col min="67" max="76" width="9.1796875" style="109" customWidth="1"/>
    <col min="77" max="16384" width="14.453125" style="109"/>
  </cols>
  <sheetData>
    <row r="1" spans="1:66" ht="10.5" customHeight="1">
      <c r="A1" s="322" t="s">
        <v>0</v>
      </c>
      <c r="B1" s="297"/>
      <c r="C1" s="298"/>
      <c r="D1" s="324" t="s">
        <v>1</v>
      </c>
      <c r="E1" s="303"/>
      <c r="F1" s="396" t="s">
        <v>2</v>
      </c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328" t="s">
        <v>3</v>
      </c>
      <c r="X1" s="331" t="s">
        <v>4</v>
      </c>
      <c r="Y1" s="334" t="s">
        <v>5</v>
      </c>
      <c r="Z1" s="297"/>
      <c r="AA1" s="297"/>
      <c r="AB1" s="297"/>
      <c r="AC1" s="297"/>
      <c r="AD1" s="297"/>
      <c r="AE1" s="297"/>
      <c r="AF1" s="297"/>
      <c r="AG1" s="297"/>
      <c r="AH1" s="303"/>
      <c r="AI1" s="331" t="s">
        <v>6</v>
      </c>
      <c r="AJ1" s="297"/>
      <c r="AK1" s="297"/>
      <c r="AL1" s="297"/>
      <c r="AM1" s="297"/>
      <c r="AN1" s="297"/>
      <c r="AO1" s="297"/>
      <c r="AP1" s="297"/>
      <c r="AQ1" s="297"/>
      <c r="AR1" s="298"/>
      <c r="AS1" s="302" t="s">
        <v>7</v>
      </c>
      <c r="AT1" s="297"/>
      <c r="AU1" s="303"/>
      <c r="AV1" s="306" t="s">
        <v>8</v>
      </c>
      <c r="AW1" s="297"/>
      <c r="AX1" s="297"/>
      <c r="AY1" s="297"/>
      <c r="AZ1" s="297"/>
      <c r="BA1" s="307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</row>
    <row r="2" spans="1:66" ht="10.5" customHeight="1">
      <c r="A2" s="323"/>
      <c r="B2" s="300"/>
      <c r="C2" s="301"/>
      <c r="D2" s="304"/>
      <c r="E2" s="305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29"/>
      <c r="X2" s="332"/>
      <c r="Y2" s="304"/>
      <c r="Z2" s="300"/>
      <c r="AA2" s="300"/>
      <c r="AB2" s="300"/>
      <c r="AC2" s="300"/>
      <c r="AD2" s="300"/>
      <c r="AE2" s="300"/>
      <c r="AF2" s="300"/>
      <c r="AG2" s="300"/>
      <c r="AH2" s="305"/>
      <c r="AI2" s="300"/>
      <c r="AJ2" s="300"/>
      <c r="AK2" s="300"/>
      <c r="AL2" s="300"/>
      <c r="AM2" s="300"/>
      <c r="AN2" s="300"/>
      <c r="AO2" s="300"/>
      <c r="AP2" s="300"/>
      <c r="AQ2" s="300"/>
      <c r="AR2" s="301"/>
      <c r="AS2" s="304"/>
      <c r="AT2" s="300"/>
      <c r="AU2" s="305"/>
      <c r="AV2" s="300"/>
      <c r="AW2" s="300"/>
      <c r="AX2" s="300"/>
      <c r="AY2" s="300"/>
      <c r="AZ2" s="300"/>
      <c r="BA2" s="308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</row>
    <row r="3" spans="1:66" ht="10.5" customHeight="1">
      <c r="A3" s="309" t="s">
        <v>9</v>
      </c>
      <c r="B3" s="311" t="s">
        <v>10</v>
      </c>
      <c r="C3" s="343" t="s">
        <v>131</v>
      </c>
      <c r="D3" s="352" t="s">
        <v>11</v>
      </c>
      <c r="E3" s="358" t="s">
        <v>12</v>
      </c>
      <c r="F3" s="394" t="s">
        <v>13</v>
      </c>
      <c r="G3" s="319"/>
      <c r="H3" s="320"/>
      <c r="I3" s="321" t="s">
        <v>14</v>
      </c>
      <c r="J3" s="319"/>
      <c r="K3" s="320"/>
      <c r="L3" s="321" t="s">
        <v>15</v>
      </c>
      <c r="M3" s="319"/>
      <c r="N3" s="320"/>
      <c r="O3" s="389" t="s">
        <v>16</v>
      </c>
      <c r="P3" s="311" t="s">
        <v>17</v>
      </c>
      <c r="Q3" s="107" t="s">
        <v>18</v>
      </c>
      <c r="R3" s="389" t="s">
        <v>19</v>
      </c>
      <c r="S3" s="389" t="s">
        <v>20</v>
      </c>
      <c r="T3" s="389" t="s">
        <v>21</v>
      </c>
      <c r="U3" s="311" t="s">
        <v>22</v>
      </c>
      <c r="V3" s="358" t="s">
        <v>23</v>
      </c>
      <c r="W3" s="329"/>
      <c r="X3" s="332"/>
      <c r="Y3" s="339" t="s">
        <v>24</v>
      </c>
      <c r="Z3" s="320"/>
      <c r="AA3" s="338" t="s">
        <v>25</v>
      </c>
      <c r="AB3" s="320"/>
      <c r="AC3" s="338" t="s">
        <v>26</v>
      </c>
      <c r="AD3" s="320"/>
      <c r="AE3" s="338" t="s">
        <v>27</v>
      </c>
      <c r="AF3" s="320"/>
      <c r="AG3" s="338" t="s">
        <v>28</v>
      </c>
      <c r="AH3" s="402"/>
      <c r="AI3" s="398" t="s">
        <v>24</v>
      </c>
      <c r="AJ3" s="320"/>
      <c r="AK3" s="338" t="s">
        <v>25</v>
      </c>
      <c r="AL3" s="320"/>
      <c r="AM3" s="338" t="s">
        <v>26</v>
      </c>
      <c r="AN3" s="320"/>
      <c r="AO3" s="338" t="s">
        <v>27</v>
      </c>
      <c r="AP3" s="320"/>
      <c r="AQ3" s="338" t="s">
        <v>28</v>
      </c>
      <c r="AR3" s="320"/>
      <c r="AS3" s="19" t="s">
        <v>29</v>
      </c>
      <c r="AT3" s="349" t="s">
        <v>30</v>
      </c>
      <c r="AU3" s="350" t="s">
        <v>31</v>
      </c>
      <c r="AV3" s="345" t="s">
        <v>32</v>
      </c>
      <c r="AW3" s="20" t="s">
        <v>33</v>
      </c>
      <c r="AX3" s="20" t="s">
        <v>34</v>
      </c>
      <c r="AY3" s="20" t="s">
        <v>35</v>
      </c>
      <c r="AZ3" s="20" t="s">
        <v>29</v>
      </c>
      <c r="BA3" s="347" t="s">
        <v>30</v>
      </c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</row>
    <row r="4" spans="1:66" ht="10.5" customHeight="1">
      <c r="A4" s="310"/>
      <c r="B4" s="312"/>
      <c r="C4" s="344"/>
      <c r="D4" s="346"/>
      <c r="E4" s="351"/>
      <c r="F4" s="98" t="s">
        <v>36</v>
      </c>
      <c r="G4" s="21" t="s">
        <v>37</v>
      </c>
      <c r="H4" s="22" t="s">
        <v>36</v>
      </c>
      <c r="I4" s="22" t="s">
        <v>36</v>
      </c>
      <c r="J4" s="21" t="s">
        <v>37</v>
      </c>
      <c r="K4" s="22" t="s">
        <v>36</v>
      </c>
      <c r="L4" s="399" t="s">
        <v>38</v>
      </c>
      <c r="M4" s="400"/>
      <c r="N4" s="401"/>
      <c r="O4" s="312"/>
      <c r="P4" s="312"/>
      <c r="Q4" s="23" t="s">
        <v>68</v>
      </c>
      <c r="R4" s="312"/>
      <c r="S4" s="312"/>
      <c r="T4" s="312"/>
      <c r="U4" s="312"/>
      <c r="V4" s="359"/>
      <c r="W4" s="330"/>
      <c r="X4" s="333"/>
      <c r="Y4" s="24" t="s">
        <v>29</v>
      </c>
      <c r="Z4" s="25" t="s">
        <v>40</v>
      </c>
      <c r="AA4" s="21" t="s">
        <v>29</v>
      </c>
      <c r="AB4" s="25" t="s">
        <v>40</v>
      </c>
      <c r="AC4" s="2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99" t="s">
        <v>40</v>
      </c>
      <c r="AI4" s="100" t="s">
        <v>29</v>
      </c>
      <c r="AJ4" s="25" t="s">
        <v>40</v>
      </c>
      <c r="AK4" s="21" t="s">
        <v>29</v>
      </c>
      <c r="AL4" s="25" t="s">
        <v>40</v>
      </c>
      <c r="AM4" s="21" t="s">
        <v>29</v>
      </c>
      <c r="AN4" s="25" t="s">
        <v>40</v>
      </c>
      <c r="AO4" s="21" t="s">
        <v>29</v>
      </c>
      <c r="AP4" s="25" t="s">
        <v>40</v>
      </c>
      <c r="AQ4" s="21" t="s">
        <v>29</v>
      </c>
      <c r="AR4" s="26" t="s">
        <v>40</v>
      </c>
      <c r="AS4" s="27" t="s">
        <v>41</v>
      </c>
      <c r="AT4" s="312"/>
      <c r="AU4" s="351"/>
      <c r="AV4" s="346"/>
      <c r="AW4" s="28" t="s">
        <v>42</v>
      </c>
      <c r="AX4" s="28" t="s">
        <v>43</v>
      </c>
      <c r="AY4" s="28" t="s">
        <v>44</v>
      </c>
      <c r="AZ4" s="28" t="s">
        <v>41</v>
      </c>
      <c r="BA4" s="348"/>
      <c r="BB4" s="71"/>
      <c r="BC4" s="73" t="s">
        <v>45</v>
      </c>
      <c r="BD4" s="73" t="s">
        <v>46</v>
      </c>
      <c r="BE4" s="73" t="s">
        <v>47</v>
      </c>
      <c r="BF4" s="73" t="s">
        <v>48</v>
      </c>
      <c r="BG4" s="73" t="s">
        <v>49</v>
      </c>
      <c r="BH4" s="73" t="s">
        <v>50</v>
      </c>
      <c r="BI4" s="73" t="s">
        <v>51</v>
      </c>
      <c r="BJ4" s="73" t="s">
        <v>52</v>
      </c>
      <c r="BK4" s="73" t="s">
        <v>53</v>
      </c>
      <c r="BL4" s="73" t="s">
        <v>54</v>
      </c>
      <c r="BM4" s="73" t="s">
        <v>55</v>
      </c>
      <c r="BN4" s="73" t="s">
        <v>56</v>
      </c>
    </row>
    <row r="5" spans="1:66" ht="8.25" customHeight="1">
      <c r="A5" s="1" t="s">
        <v>115</v>
      </c>
      <c r="B5" s="2">
        <v>24</v>
      </c>
      <c r="C5" s="3" t="s">
        <v>184</v>
      </c>
      <c r="D5" s="11">
        <v>2504</v>
      </c>
      <c r="E5" s="4" t="s">
        <v>85</v>
      </c>
      <c r="F5" s="102">
        <v>87</v>
      </c>
      <c r="G5" s="2" t="s">
        <v>147</v>
      </c>
      <c r="H5" s="12">
        <v>88</v>
      </c>
      <c r="I5" s="12">
        <v>114</v>
      </c>
      <c r="J5" s="2" t="s">
        <v>147</v>
      </c>
      <c r="K5" s="12">
        <v>114</v>
      </c>
      <c r="L5" s="251"/>
      <c r="M5" s="255" t="s">
        <v>116</v>
      </c>
      <c r="N5" s="217"/>
      <c r="O5" s="2" t="s">
        <v>117</v>
      </c>
      <c r="P5" s="95" t="s">
        <v>127</v>
      </c>
      <c r="Q5" s="94">
        <v>0.8</v>
      </c>
      <c r="R5" s="2" t="s">
        <v>89</v>
      </c>
      <c r="S5" s="2" t="s">
        <v>118</v>
      </c>
      <c r="T5" s="2" t="s">
        <v>124</v>
      </c>
      <c r="U5" s="12" t="s">
        <v>89</v>
      </c>
      <c r="V5" s="13" t="s">
        <v>126</v>
      </c>
      <c r="W5" s="9" t="s">
        <v>128</v>
      </c>
      <c r="X5" s="10" t="s">
        <v>129</v>
      </c>
      <c r="Y5" s="11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 t="s">
        <v>57</v>
      </c>
      <c r="AF5" s="12" t="s">
        <v>57</v>
      </c>
      <c r="AG5" s="12">
        <v>0</v>
      </c>
      <c r="AH5" s="103">
        <v>0</v>
      </c>
      <c r="AI5" s="102">
        <v>0</v>
      </c>
      <c r="AJ5" s="12">
        <v>0</v>
      </c>
      <c r="AK5" s="12">
        <v>0</v>
      </c>
      <c r="AL5" s="2">
        <v>0</v>
      </c>
      <c r="AM5" s="12">
        <v>0</v>
      </c>
      <c r="AN5" s="12">
        <v>0</v>
      </c>
      <c r="AO5" s="12" t="s">
        <v>57</v>
      </c>
      <c r="AP5" s="12" t="s">
        <v>57</v>
      </c>
      <c r="AQ5" s="12">
        <v>0</v>
      </c>
      <c r="AR5" s="13">
        <v>0</v>
      </c>
      <c r="AS5" s="11">
        <v>0</v>
      </c>
      <c r="AT5" s="12">
        <v>22</v>
      </c>
      <c r="AU5" s="4" t="s">
        <v>93</v>
      </c>
      <c r="AV5" s="14" t="s">
        <v>52</v>
      </c>
      <c r="AW5" s="2" t="s">
        <v>99</v>
      </c>
      <c r="AX5" s="95">
        <v>1000</v>
      </c>
      <c r="AY5" s="2" t="s">
        <v>100</v>
      </c>
      <c r="AZ5" s="95">
        <v>0</v>
      </c>
      <c r="BA5" s="104">
        <v>22</v>
      </c>
      <c r="BB5" s="18"/>
      <c r="BC5" s="18" t="str">
        <f t="shared" ref="BC5:BC28" si="0">IF(AND($AV5="TC",NOT(ISBLANK($AZ5))),$BA5*$AX5,"")</f>
        <v/>
      </c>
      <c r="BD5" s="18" t="str">
        <f t="shared" ref="BD5:BD28" si="1">IF(AND($AV5="TC",NOT(ISBLANK($AZ5))),$BA5,"")</f>
        <v/>
      </c>
      <c r="BE5" s="18" t="str">
        <f t="shared" ref="BE5:BE28" si="2">IF(AND($AV5="TC",NOT(ISBLANK($AZ5))),$AZ5,"")</f>
        <v/>
      </c>
      <c r="BF5" s="18"/>
      <c r="BG5" s="18"/>
      <c r="BH5" s="18"/>
      <c r="BI5" s="18">
        <f t="shared" ref="BI5:BI28" si="3">IF(AND($AV5="HTS",NOT(ISBLANK($AZ5))),$BA5*$AX5,"")</f>
        <v>22000</v>
      </c>
      <c r="BJ5" s="18">
        <f t="shared" ref="BJ5:BJ28" si="4">IF(AND($AV5="HTS",NOT(ISBLANK($AZ5))),$BA5,"")</f>
        <v>22</v>
      </c>
      <c r="BK5" s="18">
        <f t="shared" ref="BK5:BK28" si="5">IF(AND($AV5="HTS",NOT(ISBLANK($AZ5))),$AZ5,"")</f>
        <v>0</v>
      </c>
      <c r="BL5" s="18" t="str">
        <f t="shared" ref="BL5:BL28" si="6">IF(AND($AV5="HAST",NOT(ISBLANK($AZ5))),$BA5*$AX5,"")</f>
        <v/>
      </c>
      <c r="BM5" s="18" t="str">
        <f t="shared" ref="BM5:BM28" si="7">IF(AND($AV5="HAST",NOT(ISBLANK($AZ5))),$BA5,"")</f>
        <v/>
      </c>
      <c r="BN5" s="18" t="str">
        <f t="shared" ref="BN5:BN28" si="8">IF(AND($AV5="HAST",NOT(ISBLANK($AZ5))),$AZ5,"")</f>
        <v/>
      </c>
    </row>
    <row r="6" spans="1:66" ht="8.25" customHeight="1">
      <c r="A6" s="1" t="s">
        <v>115</v>
      </c>
      <c r="B6" s="2">
        <v>24</v>
      </c>
      <c r="C6" s="3" t="s">
        <v>184</v>
      </c>
      <c r="D6" s="11">
        <v>2508</v>
      </c>
      <c r="E6" s="4" t="s">
        <v>85</v>
      </c>
      <c r="F6" s="102">
        <v>87</v>
      </c>
      <c r="G6" s="2" t="s">
        <v>147</v>
      </c>
      <c r="H6" s="12">
        <v>88</v>
      </c>
      <c r="I6" s="12">
        <v>114</v>
      </c>
      <c r="J6" s="2" t="s">
        <v>147</v>
      </c>
      <c r="K6" s="12">
        <v>114</v>
      </c>
      <c r="L6" s="251"/>
      <c r="M6" s="255" t="s">
        <v>116</v>
      </c>
      <c r="N6" s="217"/>
      <c r="O6" s="2" t="s">
        <v>117</v>
      </c>
      <c r="P6" s="95" t="s">
        <v>127</v>
      </c>
      <c r="Q6" s="94">
        <v>0.8</v>
      </c>
      <c r="R6" s="2" t="s">
        <v>89</v>
      </c>
      <c r="S6" s="2" t="s">
        <v>118</v>
      </c>
      <c r="T6" s="2" t="s">
        <v>124</v>
      </c>
      <c r="U6" s="12" t="s">
        <v>89</v>
      </c>
      <c r="V6" s="13" t="s">
        <v>126</v>
      </c>
      <c r="W6" s="9" t="s">
        <v>128</v>
      </c>
      <c r="X6" s="10" t="s">
        <v>129</v>
      </c>
      <c r="Y6" s="11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57</v>
      </c>
      <c r="AF6" s="12" t="s">
        <v>57</v>
      </c>
      <c r="AG6" s="12">
        <v>0</v>
      </c>
      <c r="AH6" s="103">
        <v>0</v>
      </c>
      <c r="AI6" s="102">
        <v>0</v>
      </c>
      <c r="AJ6" s="12">
        <v>0</v>
      </c>
      <c r="AK6" s="12">
        <v>9</v>
      </c>
      <c r="AL6" s="2">
        <v>86</v>
      </c>
      <c r="AM6" s="12">
        <v>0</v>
      </c>
      <c r="AN6" s="12">
        <v>0</v>
      </c>
      <c r="AO6" s="12" t="s">
        <v>57</v>
      </c>
      <c r="AP6" s="12" t="s">
        <v>57</v>
      </c>
      <c r="AQ6" s="12">
        <v>0</v>
      </c>
      <c r="AR6" s="13">
        <v>0</v>
      </c>
      <c r="AS6" s="11">
        <v>0</v>
      </c>
      <c r="AT6" s="12">
        <v>22</v>
      </c>
      <c r="AU6" s="4" t="s">
        <v>93</v>
      </c>
      <c r="AV6" s="14" t="s">
        <v>94</v>
      </c>
      <c r="AW6" s="2" t="s">
        <v>120</v>
      </c>
      <c r="AX6" s="95">
        <v>500</v>
      </c>
      <c r="AY6" s="2" t="s">
        <v>96</v>
      </c>
      <c r="AZ6" s="95">
        <v>0</v>
      </c>
      <c r="BA6" s="104">
        <v>22</v>
      </c>
      <c r="BB6" s="18"/>
      <c r="BC6" s="18">
        <f t="shared" si="0"/>
        <v>11000</v>
      </c>
      <c r="BD6" s="18">
        <f t="shared" si="1"/>
        <v>22</v>
      </c>
      <c r="BE6" s="18">
        <f t="shared" si="2"/>
        <v>0</v>
      </c>
      <c r="BF6" s="18"/>
      <c r="BG6" s="18"/>
      <c r="BH6" s="18"/>
      <c r="BI6" s="18" t="str">
        <f t="shared" si="3"/>
        <v/>
      </c>
      <c r="BJ6" s="18" t="str">
        <f t="shared" si="4"/>
        <v/>
      </c>
      <c r="BK6" s="18" t="str">
        <f t="shared" si="5"/>
        <v/>
      </c>
      <c r="BL6" s="18" t="str">
        <f t="shared" si="6"/>
        <v/>
      </c>
      <c r="BM6" s="18" t="str">
        <f t="shared" si="7"/>
        <v/>
      </c>
      <c r="BN6" s="18" t="str">
        <f t="shared" si="8"/>
        <v/>
      </c>
    </row>
    <row r="7" spans="1:66" ht="8.25" customHeight="1">
      <c r="A7" s="1" t="s">
        <v>115</v>
      </c>
      <c r="B7" s="2">
        <v>24</v>
      </c>
      <c r="C7" s="3" t="s">
        <v>184</v>
      </c>
      <c r="D7" s="11">
        <v>2517</v>
      </c>
      <c r="E7" s="4" t="s">
        <v>85</v>
      </c>
      <c r="F7" s="102">
        <v>87</v>
      </c>
      <c r="G7" s="2" t="s">
        <v>147</v>
      </c>
      <c r="H7" s="12">
        <v>88</v>
      </c>
      <c r="I7" s="12">
        <v>114</v>
      </c>
      <c r="J7" s="2" t="s">
        <v>147</v>
      </c>
      <c r="K7" s="12">
        <v>114</v>
      </c>
      <c r="L7" s="251"/>
      <c r="M7" s="255" t="s">
        <v>116</v>
      </c>
      <c r="N7" s="217"/>
      <c r="O7" s="2" t="s">
        <v>117</v>
      </c>
      <c r="P7" s="95" t="s">
        <v>127</v>
      </c>
      <c r="Q7" s="94">
        <v>0.8</v>
      </c>
      <c r="R7" s="2" t="s">
        <v>89</v>
      </c>
      <c r="S7" s="2" t="s">
        <v>118</v>
      </c>
      <c r="T7" s="2" t="s">
        <v>124</v>
      </c>
      <c r="U7" s="12" t="s">
        <v>89</v>
      </c>
      <c r="V7" s="13" t="s">
        <v>126</v>
      </c>
      <c r="W7" s="9" t="s">
        <v>128</v>
      </c>
      <c r="X7" s="10" t="s">
        <v>190</v>
      </c>
      <c r="Y7" s="11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57</v>
      </c>
      <c r="AF7" s="12" t="s">
        <v>57</v>
      </c>
      <c r="AG7" s="12">
        <v>3</v>
      </c>
      <c r="AH7" s="103">
        <v>67</v>
      </c>
      <c r="AI7" s="102">
        <v>0</v>
      </c>
      <c r="AJ7" s="12">
        <v>0</v>
      </c>
      <c r="AK7" s="12">
        <v>0</v>
      </c>
      <c r="AL7" s="2">
        <v>0</v>
      </c>
      <c r="AM7" s="12">
        <v>0</v>
      </c>
      <c r="AN7" s="12">
        <v>0</v>
      </c>
      <c r="AO7" s="12" t="s">
        <v>57</v>
      </c>
      <c r="AP7" s="12" t="s">
        <v>57</v>
      </c>
      <c r="AQ7" s="12">
        <v>3</v>
      </c>
      <c r="AR7" s="13">
        <v>67</v>
      </c>
      <c r="AS7" s="11">
        <v>0</v>
      </c>
      <c r="AT7" s="12">
        <v>22</v>
      </c>
      <c r="AU7" s="4" t="s">
        <v>93</v>
      </c>
      <c r="AV7" s="14" t="s">
        <v>52</v>
      </c>
      <c r="AW7" s="2" t="s">
        <v>99</v>
      </c>
      <c r="AX7" s="95">
        <v>1000</v>
      </c>
      <c r="AY7" s="2" t="s">
        <v>100</v>
      </c>
      <c r="AZ7" s="95">
        <v>0</v>
      </c>
      <c r="BA7" s="104">
        <v>22</v>
      </c>
      <c r="BB7" s="18"/>
      <c r="BC7" s="18" t="str">
        <f t="shared" si="0"/>
        <v/>
      </c>
      <c r="BD7" s="18" t="str">
        <f t="shared" si="1"/>
        <v/>
      </c>
      <c r="BE7" s="18" t="str">
        <f t="shared" si="2"/>
        <v/>
      </c>
      <c r="BF7" s="18"/>
      <c r="BG7" s="18"/>
      <c r="BH7" s="18"/>
      <c r="BI7" s="18">
        <f t="shared" si="3"/>
        <v>22000</v>
      </c>
      <c r="BJ7" s="18">
        <f t="shared" si="4"/>
        <v>22</v>
      </c>
      <c r="BK7" s="18">
        <f t="shared" si="5"/>
        <v>0</v>
      </c>
      <c r="BL7" s="18" t="str">
        <f t="shared" si="6"/>
        <v/>
      </c>
      <c r="BM7" s="18" t="str">
        <f t="shared" si="7"/>
        <v/>
      </c>
      <c r="BN7" s="18" t="str">
        <f t="shared" si="8"/>
        <v/>
      </c>
    </row>
    <row r="8" spans="1:66" ht="8.25" customHeight="1">
      <c r="A8" s="1" t="s">
        <v>115</v>
      </c>
      <c r="B8" s="2">
        <v>24</v>
      </c>
      <c r="C8" s="3" t="s">
        <v>184</v>
      </c>
      <c r="D8" s="11">
        <v>2521</v>
      </c>
      <c r="E8" s="4" t="s">
        <v>85</v>
      </c>
      <c r="F8" s="102">
        <v>85</v>
      </c>
      <c r="G8" s="2" t="s">
        <v>147</v>
      </c>
      <c r="H8" s="12">
        <v>104</v>
      </c>
      <c r="I8" s="12">
        <v>114</v>
      </c>
      <c r="J8" s="2" t="s">
        <v>147</v>
      </c>
      <c r="K8" s="12">
        <v>114</v>
      </c>
      <c r="L8" s="251"/>
      <c r="M8" s="255" t="s">
        <v>116</v>
      </c>
      <c r="N8" s="217"/>
      <c r="O8" s="2" t="s">
        <v>117</v>
      </c>
      <c r="P8" s="95" t="s">
        <v>206</v>
      </c>
      <c r="Q8" s="94">
        <v>0.8</v>
      </c>
      <c r="R8" s="2" t="s">
        <v>89</v>
      </c>
      <c r="S8" s="2" t="s">
        <v>118</v>
      </c>
      <c r="T8" s="2" t="s">
        <v>124</v>
      </c>
      <c r="U8" s="12" t="s">
        <v>89</v>
      </c>
      <c r="V8" s="13" t="s">
        <v>126</v>
      </c>
      <c r="W8" s="9" t="s">
        <v>128</v>
      </c>
      <c r="X8" s="10" t="s">
        <v>190</v>
      </c>
      <c r="Y8" s="11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 t="s">
        <v>57</v>
      </c>
      <c r="AF8" s="12" t="s">
        <v>57</v>
      </c>
      <c r="AG8" s="12">
        <v>0</v>
      </c>
      <c r="AH8" s="103">
        <v>0</v>
      </c>
      <c r="AI8" s="102">
        <v>0</v>
      </c>
      <c r="AJ8" s="12">
        <v>0</v>
      </c>
      <c r="AK8" s="12">
        <v>0</v>
      </c>
      <c r="AL8" s="2">
        <v>0</v>
      </c>
      <c r="AM8" s="12">
        <v>0</v>
      </c>
      <c r="AN8" s="12">
        <v>0</v>
      </c>
      <c r="AO8" s="12" t="s">
        <v>57</v>
      </c>
      <c r="AP8" s="12" t="s">
        <v>57</v>
      </c>
      <c r="AQ8" s="12">
        <v>0</v>
      </c>
      <c r="AR8" s="13">
        <v>0</v>
      </c>
      <c r="AS8" s="11">
        <v>0</v>
      </c>
      <c r="AT8" s="12">
        <v>22</v>
      </c>
      <c r="AU8" s="4" t="s">
        <v>93</v>
      </c>
      <c r="AV8" s="14" t="s">
        <v>94</v>
      </c>
      <c r="AW8" s="2" t="s">
        <v>120</v>
      </c>
      <c r="AX8" s="95">
        <v>500</v>
      </c>
      <c r="AY8" s="2" t="s">
        <v>96</v>
      </c>
      <c r="AZ8" s="95">
        <v>0</v>
      </c>
      <c r="BA8" s="104">
        <v>22</v>
      </c>
      <c r="BB8" s="18"/>
      <c r="BC8" s="18">
        <f t="shared" si="0"/>
        <v>11000</v>
      </c>
      <c r="BD8" s="18">
        <f t="shared" si="1"/>
        <v>22</v>
      </c>
      <c r="BE8" s="18">
        <f t="shared" si="2"/>
        <v>0</v>
      </c>
      <c r="BF8" s="18"/>
      <c r="BG8" s="18"/>
      <c r="BH8" s="18"/>
      <c r="BI8" s="18" t="str">
        <f t="shared" si="3"/>
        <v/>
      </c>
      <c r="BJ8" s="18" t="str">
        <f t="shared" si="4"/>
        <v/>
      </c>
      <c r="BK8" s="18" t="str">
        <f t="shared" si="5"/>
        <v/>
      </c>
      <c r="BL8" s="18" t="str">
        <f t="shared" si="6"/>
        <v/>
      </c>
      <c r="BM8" s="18" t="str">
        <f t="shared" si="7"/>
        <v/>
      </c>
      <c r="BN8" s="18" t="str">
        <f t="shared" si="8"/>
        <v/>
      </c>
    </row>
    <row r="9" spans="1:66" ht="8.25" customHeight="1">
      <c r="A9" s="1" t="s">
        <v>115</v>
      </c>
      <c r="B9" s="2">
        <v>24</v>
      </c>
      <c r="C9" s="3" t="s">
        <v>184</v>
      </c>
      <c r="D9" s="11">
        <v>2525</v>
      </c>
      <c r="E9" s="4" t="s">
        <v>85</v>
      </c>
      <c r="F9" s="102">
        <v>85</v>
      </c>
      <c r="G9" s="2" t="s">
        <v>147</v>
      </c>
      <c r="H9" s="12">
        <v>104</v>
      </c>
      <c r="I9" s="12">
        <v>114</v>
      </c>
      <c r="J9" s="2" t="s">
        <v>147</v>
      </c>
      <c r="K9" s="12">
        <v>114</v>
      </c>
      <c r="L9" s="251"/>
      <c r="M9" s="255" t="s">
        <v>116</v>
      </c>
      <c r="N9" s="217"/>
      <c r="O9" s="2" t="s">
        <v>117</v>
      </c>
      <c r="P9" s="95" t="s">
        <v>206</v>
      </c>
      <c r="Q9" s="94">
        <v>0.8</v>
      </c>
      <c r="R9" s="2" t="s">
        <v>89</v>
      </c>
      <c r="S9" s="2" t="s">
        <v>118</v>
      </c>
      <c r="T9" s="2" t="s">
        <v>124</v>
      </c>
      <c r="U9" s="12" t="s">
        <v>89</v>
      </c>
      <c r="V9" s="13" t="s">
        <v>126</v>
      </c>
      <c r="W9" s="9" t="s">
        <v>128</v>
      </c>
      <c r="X9" s="10" t="s">
        <v>190</v>
      </c>
      <c r="Y9" s="11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 t="s">
        <v>57</v>
      </c>
      <c r="AF9" s="12" t="s">
        <v>57</v>
      </c>
      <c r="AG9" s="12">
        <v>0</v>
      </c>
      <c r="AH9" s="103">
        <v>0</v>
      </c>
      <c r="AI9" s="115">
        <v>0</v>
      </c>
      <c r="AJ9" s="116">
        <v>0</v>
      </c>
      <c r="AK9" s="116">
        <v>0</v>
      </c>
      <c r="AL9" s="117">
        <v>0</v>
      </c>
      <c r="AM9" s="116">
        <v>0</v>
      </c>
      <c r="AN9" s="116">
        <v>0</v>
      </c>
      <c r="AO9" s="116" t="s">
        <v>57</v>
      </c>
      <c r="AP9" s="116" t="s">
        <v>57</v>
      </c>
      <c r="AQ9" s="116">
        <v>0</v>
      </c>
      <c r="AR9" s="118">
        <v>0</v>
      </c>
      <c r="AS9" s="119">
        <v>0</v>
      </c>
      <c r="AT9" s="116">
        <v>22</v>
      </c>
      <c r="AU9" s="114" t="s">
        <v>93</v>
      </c>
      <c r="AV9" s="120" t="s">
        <v>58</v>
      </c>
      <c r="AW9" s="117" t="s">
        <v>226</v>
      </c>
      <c r="AX9" s="132">
        <v>96</v>
      </c>
      <c r="AY9" s="117" t="s">
        <v>100</v>
      </c>
      <c r="AZ9" s="132">
        <v>0</v>
      </c>
      <c r="BA9" s="133">
        <v>22</v>
      </c>
      <c r="BB9" s="18"/>
      <c r="BC9" s="18" t="str">
        <f t="shared" si="0"/>
        <v/>
      </c>
      <c r="BD9" s="18" t="str">
        <f t="shared" si="1"/>
        <v/>
      </c>
      <c r="BE9" s="18" t="str">
        <f t="shared" si="2"/>
        <v/>
      </c>
      <c r="BF9" s="18"/>
      <c r="BG9" s="18"/>
      <c r="BH9" s="18"/>
      <c r="BI9" s="18" t="str">
        <f t="shared" si="3"/>
        <v/>
      </c>
      <c r="BJ9" s="18" t="str">
        <f t="shared" si="4"/>
        <v/>
      </c>
      <c r="BK9" s="18" t="str">
        <f t="shared" si="5"/>
        <v/>
      </c>
      <c r="BL9" s="18">
        <f t="shared" si="6"/>
        <v>2112</v>
      </c>
      <c r="BM9" s="18">
        <f t="shared" si="7"/>
        <v>22</v>
      </c>
      <c r="BN9" s="18">
        <f t="shared" si="8"/>
        <v>0</v>
      </c>
    </row>
    <row r="10" spans="1:66" ht="8.25" customHeight="1">
      <c r="A10" s="1" t="s">
        <v>115</v>
      </c>
      <c r="B10" s="2">
        <v>24</v>
      </c>
      <c r="C10" s="3" t="s">
        <v>184</v>
      </c>
      <c r="D10" s="11">
        <v>2530</v>
      </c>
      <c r="E10" s="4" t="s">
        <v>85</v>
      </c>
      <c r="F10" s="102">
        <v>84</v>
      </c>
      <c r="G10" s="2" t="s">
        <v>147</v>
      </c>
      <c r="H10" s="12">
        <v>104</v>
      </c>
      <c r="I10" s="12">
        <v>114</v>
      </c>
      <c r="J10" s="2" t="s">
        <v>147</v>
      </c>
      <c r="K10" s="12">
        <v>114</v>
      </c>
      <c r="L10" s="251"/>
      <c r="M10" s="255" t="s">
        <v>116</v>
      </c>
      <c r="N10" s="217"/>
      <c r="O10" s="2" t="s">
        <v>117</v>
      </c>
      <c r="P10" s="95" t="s">
        <v>206</v>
      </c>
      <c r="Q10" s="94">
        <v>0.8</v>
      </c>
      <c r="R10" s="2" t="s">
        <v>89</v>
      </c>
      <c r="S10" s="2" t="s">
        <v>118</v>
      </c>
      <c r="T10" s="2" t="s">
        <v>124</v>
      </c>
      <c r="U10" s="12" t="s">
        <v>89</v>
      </c>
      <c r="V10" s="13" t="s">
        <v>126</v>
      </c>
      <c r="W10" s="9" t="s">
        <v>128</v>
      </c>
      <c r="X10" s="10" t="s">
        <v>190</v>
      </c>
      <c r="Y10" s="119">
        <v>0</v>
      </c>
      <c r="Z10" s="116">
        <v>0</v>
      </c>
      <c r="AA10" s="116">
        <v>0</v>
      </c>
      <c r="AB10" s="116">
        <v>0</v>
      </c>
      <c r="AC10" s="116">
        <v>0</v>
      </c>
      <c r="AD10" s="116">
        <v>0</v>
      </c>
      <c r="AE10" s="116" t="s">
        <v>57</v>
      </c>
      <c r="AF10" s="116" t="s">
        <v>57</v>
      </c>
      <c r="AG10" s="116">
        <v>0</v>
      </c>
      <c r="AH10" s="121">
        <v>0</v>
      </c>
      <c r="AI10" s="115">
        <v>0</v>
      </c>
      <c r="AJ10" s="116">
        <v>0</v>
      </c>
      <c r="AK10" s="116">
        <v>0</v>
      </c>
      <c r="AL10" s="117">
        <v>0</v>
      </c>
      <c r="AM10" s="116">
        <v>0</v>
      </c>
      <c r="AN10" s="116">
        <v>0</v>
      </c>
      <c r="AO10" s="116" t="s">
        <v>57</v>
      </c>
      <c r="AP10" s="116" t="s">
        <v>57</v>
      </c>
      <c r="AQ10" s="116">
        <v>0</v>
      </c>
      <c r="AR10" s="118">
        <v>0</v>
      </c>
      <c r="AS10" s="119">
        <v>0</v>
      </c>
      <c r="AT10" s="116">
        <v>22</v>
      </c>
      <c r="AU10" s="114" t="s">
        <v>93</v>
      </c>
      <c r="AV10" s="120" t="s">
        <v>52</v>
      </c>
      <c r="AW10" s="117" t="s">
        <v>99</v>
      </c>
      <c r="AX10" s="132">
        <v>1000</v>
      </c>
      <c r="AY10" s="117" t="s">
        <v>100</v>
      </c>
      <c r="AZ10" s="132">
        <v>0</v>
      </c>
      <c r="BA10" s="133">
        <v>22</v>
      </c>
      <c r="BB10" s="18"/>
      <c r="BC10" s="18" t="str">
        <f t="shared" si="0"/>
        <v/>
      </c>
      <c r="BD10" s="18" t="str">
        <f t="shared" si="1"/>
        <v/>
      </c>
      <c r="BE10" s="18" t="str">
        <f t="shared" si="2"/>
        <v/>
      </c>
      <c r="BF10" s="18"/>
      <c r="BG10" s="18"/>
      <c r="BH10" s="18"/>
      <c r="BI10" s="18">
        <f t="shared" si="3"/>
        <v>22000</v>
      </c>
      <c r="BJ10" s="18">
        <f t="shared" si="4"/>
        <v>22</v>
      </c>
      <c r="BK10" s="18">
        <f t="shared" si="5"/>
        <v>0</v>
      </c>
      <c r="BL10" s="18" t="str">
        <f t="shared" si="6"/>
        <v/>
      </c>
      <c r="BM10" s="18" t="str">
        <f t="shared" si="7"/>
        <v/>
      </c>
      <c r="BN10" s="18" t="str">
        <f t="shared" si="8"/>
        <v/>
      </c>
    </row>
    <row r="11" spans="1:66" ht="8.25" customHeight="1">
      <c r="A11" s="1" t="s">
        <v>115</v>
      </c>
      <c r="B11" s="2">
        <v>24</v>
      </c>
      <c r="C11" s="3" t="s">
        <v>184</v>
      </c>
      <c r="D11" s="11">
        <v>2534</v>
      </c>
      <c r="E11" s="4" t="s">
        <v>85</v>
      </c>
      <c r="F11" s="102">
        <v>87</v>
      </c>
      <c r="G11" s="2" t="s">
        <v>147</v>
      </c>
      <c r="H11" s="12">
        <v>88</v>
      </c>
      <c r="I11" s="12">
        <v>114</v>
      </c>
      <c r="J11" s="2" t="s">
        <v>147</v>
      </c>
      <c r="K11" s="12">
        <v>114</v>
      </c>
      <c r="L11" s="251"/>
      <c r="M11" s="255" t="s">
        <v>116</v>
      </c>
      <c r="N11" s="217"/>
      <c r="O11" s="2" t="s">
        <v>117</v>
      </c>
      <c r="P11" s="95" t="s">
        <v>206</v>
      </c>
      <c r="Q11" s="94">
        <v>0.8</v>
      </c>
      <c r="R11" s="2" t="s">
        <v>89</v>
      </c>
      <c r="S11" s="2" t="s">
        <v>118</v>
      </c>
      <c r="T11" s="2" t="s">
        <v>124</v>
      </c>
      <c r="U11" s="12" t="s">
        <v>89</v>
      </c>
      <c r="V11" s="13" t="s">
        <v>126</v>
      </c>
      <c r="W11" s="9" t="s">
        <v>128</v>
      </c>
      <c r="X11" s="10" t="s">
        <v>190</v>
      </c>
      <c r="Y11" s="119">
        <v>0</v>
      </c>
      <c r="Z11" s="116">
        <v>0</v>
      </c>
      <c r="AA11" s="116">
        <v>0</v>
      </c>
      <c r="AB11" s="116">
        <v>0</v>
      </c>
      <c r="AC11" s="116">
        <v>0</v>
      </c>
      <c r="AD11" s="116">
        <v>0</v>
      </c>
      <c r="AE11" s="116" t="s">
        <v>57</v>
      </c>
      <c r="AF11" s="116" t="s">
        <v>57</v>
      </c>
      <c r="AG11" s="116">
        <v>0</v>
      </c>
      <c r="AH11" s="121">
        <v>0</v>
      </c>
      <c r="AI11" s="115">
        <v>0</v>
      </c>
      <c r="AJ11" s="116">
        <v>0</v>
      </c>
      <c r="AK11" s="116">
        <v>0</v>
      </c>
      <c r="AL11" s="117">
        <v>0</v>
      </c>
      <c r="AM11" s="116">
        <v>0</v>
      </c>
      <c r="AN11" s="116">
        <v>0</v>
      </c>
      <c r="AO11" s="116" t="s">
        <v>57</v>
      </c>
      <c r="AP11" s="116" t="s">
        <v>57</v>
      </c>
      <c r="AQ11" s="116">
        <v>0</v>
      </c>
      <c r="AR11" s="118">
        <v>0</v>
      </c>
      <c r="AS11" s="119">
        <v>0</v>
      </c>
      <c r="AT11" s="116">
        <v>22</v>
      </c>
      <c r="AU11" s="114" t="s">
        <v>93</v>
      </c>
      <c r="AV11" s="120" t="s">
        <v>94</v>
      </c>
      <c r="AW11" s="117" t="s">
        <v>120</v>
      </c>
      <c r="AX11" s="132">
        <v>500</v>
      </c>
      <c r="AY11" s="117" t="s">
        <v>96</v>
      </c>
      <c r="AZ11" s="132">
        <v>0</v>
      </c>
      <c r="BA11" s="133">
        <v>22</v>
      </c>
      <c r="BB11" s="18"/>
      <c r="BC11" s="18">
        <f t="shared" si="0"/>
        <v>11000</v>
      </c>
      <c r="BD11" s="18">
        <f t="shared" si="1"/>
        <v>22</v>
      </c>
      <c r="BE11" s="18">
        <f t="shared" si="2"/>
        <v>0</v>
      </c>
      <c r="BF11" s="18"/>
      <c r="BG11" s="18"/>
      <c r="BH11" s="18"/>
      <c r="BI11" s="18" t="str">
        <f t="shared" si="3"/>
        <v/>
      </c>
      <c r="BJ11" s="18" t="str">
        <f t="shared" si="4"/>
        <v/>
      </c>
      <c r="BK11" s="18" t="str">
        <f t="shared" si="5"/>
        <v/>
      </c>
      <c r="BL11" s="18" t="str">
        <f t="shared" si="6"/>
        <v/>
      </c>
      <c r="BM11" s="18" t="str">
        <f t="shared" si="7"/>
        <v/>
      </c>
      <c r="BN11" s="18" t="str">
        <f t="shared" si="8"/>
        <v/>
      </c>
    </row>
    <row r="12" spans="1:66" ht="8.25" customHeight="1">
      <c r="A12" s="1" t="s">
        <v>115</v>
      </c>
      <c r="B12" s="2">
        <v>24</v>
      </c>
      <c r="C12" s="3" t="s">
        <v>184</v>
      </c>
      <c r="D12" s="11">
        <v>2539</v>
      </c>
      <c r="E12" s="4" t="s">
        <v>85</v>
      </c>
      <c r="F12" s="102">
        <v>85</v>
      </c>
      <c r="G12" s="2" t="s">
        <v>147</v>
      </c>
      <c r="H12" s="12">
        <v>104</v>
      </c>
      <c r="I12" s="12">
        <v>114</v>
      </c>
      <c r="J12" s="2" t="s">
        <v>147</v>
      </c>
      <c r="K12" s="12">
        <v>114</v>
      </c>
      <c r="L12" s="251"/>
      <c r="M12" s="255" t="s">
        <v>116</v>
      </c>
      <c r="N12" s="217"/>
      <c r="O12" s="2" t="s">
        <v>117</v>
      </c>
      <c r="P12" s="95" t="s">
        <v>206</v>
      </c>
      <c r="Q12" s="94">
        <v>0.8</v>
      </c>
      <c r="R12" s="2" t="s">
        <v>89</v>
      </c>
      <c r="S12" s="2" t="s">
        <v>118</v>
      </c>
      <c r="T12" s="2" t="s">
        <v>124</v>
      </c>
      <c r="U12" s="12" t="s">
        <v>89</v>
      </c>
      <c r="V12" s="13" t="s">
        <v>126</v>
      </c>
      <c r="W12" s="9" t="s">
        <v>128</v>
      </c>
      <c r="X12" s="10" t="s">
        <v>190</v>
      </c>
      <c r="Y12" s="119">
        <v>0</v>
      </c>
      <c r="Z12" s="116">
        <v>0</v>
      </c>
      <c r="AA12" s="116">
        <v>0</v>
      </c>
      <c r="AB12" s="116">
        <v>0</v>
      </c>
      <c r="AC12" s="116">
        <v>0</v>
      </c>
      <c r="AD12" s="116">
        <v>0</v>
      </c>
      <c r="AE12" s="116" t="s">
        <v>57</v>
      </c>
      <c r="AF12" s="116" t="s">
        <v>57</v>
      </c>
      <c r="AG12" s="116">
        <v>0</v>
      </c>
      <c r="AH12" s="121">
        <v>0</v>
      </c>
      <c r="AI12" s="115">
        <v>0</v>
      </c>
      <c r="AJ12" s="116">
        <v>0</v>
      </c>
      <c r="AK12" s="116">
        <v>0</v>
      </c>
      <c r="AL12" s="117">
        <v>0</v>
      </c>
      <c r="AM12" s="116">
        <v>0</v>
      </c>
      <c r="AN12" s="116">
        <v>0</v>
      </c>
      <c r="AO12" s="116" t="s">
        <v>57</v>
      </c>
      <c r="AP12" s="116" t="s">
        <v>57</v>
      </c>
      <c r="AQ12" s="116">
        <v>0</v>
      </c>
      <c r="AR12" s="118">
        <v>0</v>
      </c>
      <c r="AS12" s="119">
        <v>0</v>
      </c>
      <c r="AT12" s="116">
        <v>22</v>
      </c>
      <c r="AU12" s="114" t="s">
        <v>93</v>
      </c>
      <c r="AV12" s="120" t="s">
        <v>58</v>
      </c>
      <c r="AW12" s="117" t="s">
        <v>226</v>
      </c>
      <c r="AX12" s="132">
        <v>96</v>
      </c>
      <c r="AY12" s="117" t="s">
        <v>100</v>
      </c>
      <c r="AZ12" s="132">
        <v>0</v>
      </c>
      <c r="BA12" s="133">
        <v>22</v>
      </c>
      <c r="BB12" s="18"/>
      <c r="BC12" s="18" t="str">
        <f t="shared" si="0"/>
        <v/>
      </c>
      <c r="BD12" s="18" t="str">
        <f t="shared" si="1"/>
        <v/>
      </c>
      <c r="BE12" s="18" t="str">
        <f t="shared" si="2"/>
        <v/>
      </c>
      <c r="BF12" s="18"/>
      <c r="BG12" s="18"/>
      <c r="BH12" s="18"/>
      <c r="BI12" s="18" t="str">
        <f t="shared" si="3"/>
        <v/>
      </c>
      <c r="BJ12" s="18" t="str">
        <f t="shared" si="4"/>
        <v/>
      </c>
      <c r="BK12" s="18" t="str">
        <f t="shared" si="5"/>
        <v/>
      </c>
      <c r="BL12" s="18">
        <f t="shared" si="6"/>
        <v>2112</v>
      </c>
      <c r="BM12" s="18">
        <f t="shared" si="7"/>
        <v>22</v>
      </c>
      <c r="BN12" s="18">
        <f t="shared" si="8"/>
        <v>0</v>
      </c>
    </row>
    <row r="13" spans="1:66" ht="8.25" customHeight="1">
      <c r="A13" s="122" t="s">
        <v>115</v>
      </c>
      <c r="B13" s="117">
        <v>24</v>
      </c>
      <c r="C13" s="125" t="s">
        <v>184</v>
      </c>
      <c r="D13" s="119">
        <v>2543</v>
      </c>
      <c r="E13" s="114" t="s">
        <v>85</v>
      </c>
      <c r="F13" s="115">
        <v>85</v>
      </c>
      <c r="G13" s="117" t="s">
        <v>147</v>
      </c>
      <c r="H13" s="116">
        <v>104</v>
      </c>
      <c r="I13" s="116">
        <v>114</v>
      </c>
      <c r="J13" s="117" t="s">
        <v>147</v>
      </c>
      <c r="K13" s="116">
        <v>114</v>
      </c>
      <c r="L13" s="134"/>
      <c r="M13" s="135" t="s">
        <v>116</v>
      </c>
      <c r="N13" s="136"/>
      <c r="O13" s="117" t="s">
        <v>117</v>
      </c>
      <c r="P13" s="132" t="s">
        <v>206</v>
      </c>
      <c r="Q13" s="137">
        <v>0.8</v>
      </c>
      <c r="R13" s="117" t="s">
        <v>89</v>
      </c>
      <c r="S13" s="117" t="s">
        <v>118</v>
      </c>
      <c r="T13" s="117" t="s">
        <v>124</v>
      </c>
      <c r="U13" s="116" t="s">
        <v>89</v>
      </c>
      <c r="V13" s="118" t="s">
        <v>126</v>
      </c>
      <c r="W13" s="123" t="s">
        <v>128</v>
      </c>
      <c r="X13" s="124" t="s">
        <v>190</v>
      </c>
      <c r="Y13" s="119">
        <v>0</v>
      </c>
      <c r="Z13" s="116">
        <v>0</v>
      </c>
      <c r="AA13" s="116">
        <v>0</v>
      </c>
      <c r="AB13" s="116">
        <v>0</v>
      </c>
      <c r="AC13" s="116">
        <v>0</v>
      </c>
      <c r="AD13" s="116">
        <v>0</v>
      </c>
      <c r="AE13" s="116" t="s">
        <v>57</v>
      </c>
      <c r="AF13" s="116" t="s">
        <v>57</v>
      </c>
      <c r="AG13" s="116">
        <v>0</v>
      </c>
      <c r="AH13" s="121">
        <v>0</v>
      </c>
      <c r="AI13" s="115"/>
      <c r="AJ13" s="116"/>
      <c r="AK13" s="116"/>
      <c r="AL13" s="117"/>
      <c r="AM13" s="116"/>
      <c r="AN13" s="116"/>
      <c r="AO13" s="116"/>
      <c r="AP13" s="116"/>
      <c r="AQ13" s="116"/>
      <c r="AR13" s="118"/>
      <c r="AS13" s="119">
        <v>0</v>
      </c>
      <c r="AT13" s="116">
        <v>22</v>
      </c>
      <c r="AU13" s="114" t="s">
        <v>93</v>
      </c>
      <c r="AV13" s="120" t="s">
        <v>52</v>
      </c>
      <c r="AW13" s="117" t="s">
        <v>155</v>
      </c>
      <c r="AX13" s="132"/>
      <c r="AY13" s="117"/>
      <c r="AZ13" s="132"/>
      <c r="BA13" s="133"/>
      <c r="BB13" s="18"/>
      <c r="BC13" s="18" t="str">
        <f t="shared" si="0"/>
        <v/>
      </c>
      <c r="BD13" s="18" t="str">
        <f t="shared" si="1"/>
        <v/>
      </c>
      <c r="BE13" s="18" t="str">
        <f t="shared" si="2"/>
        <v/>
      </c>
      <c r="BF13" s="18"/>
      <c r="BG13" s="18"/>
      <c r="BH13" s="18"/>
      <c r="BI13" s="18" t="str">
        <f t="shared" si="3"/>
        <v/>
      </c>
      <c r="BJ13" s="18" t="str">
        <f t="shared" si="4"/>
        <v/>
      </c>
      <c r="BK13" s="18" t="str">
        <f t="shared" si="5"/>
        <v/>
      </c>
      <c r="BL13" s="18" t="str">
        <f t="shared" si="6"/>
        <v/>
      </c>
      <c r="BM13" s="18" t="str">
        <f t="shared" si="7"/>
        <v/>
      </c>
      <c r="BN13" s="18" t="str">
        <f t="shared" si="8"/>
        <v/>
      </c>
    </row>
    <row r="14" spans="1:66" ht="8.25" customHeight="1">
      <c r="A14" s="122" t="s">
        <v>115</v>
      </c>
      <c r="B14" s="117">
        <v>24</v>
      </c>
      <c r="C14" s="125" t="s">
        <v>184</v>
      </c>
      <c r="D14" s="119">
        <v>2547</v>
      </c>
      <c r="E14" s="114" t="s">
        <v>85</v>
      </c>
      <c r="F14" s="115">
        <v>85</v>
      </c>
      <c r="G14" s="117" t="s">
        <v>147</v>
      </c>
      <c r="H14" s="116">
        <v>104</v>
      </c>
      <c r="I14" s="116">
        <v>114</v>
      </c>
      <c r="J14" s="117" t="s">
        <v>147</v>
      </c>
      <c r="K14" s="116">
        <v>114</v>
      </c>
      <c r="L14" s="134"/>
      <c r="M14" s="135" t="s">
        <v>116</v>
      </c>
      <c r="N14" s="136"/>
      <c r="O14" s="117" t="s">
        <v>117</v>
      </c>
      <c r="P14" s="132" t="s">
        <v>206</v>
      </c>
      <c r="Q14" s="137">
        <v>0.8</v>
      </c>
      <c r="R14" s="117" t="s">
        <v>89</v>
      </c>
      <c r="S14" s="117" t="s">
        <v>118</v>
      </c>
      <c r="T14" s="117" t="s">
        <v>124</v>
      </c>
      <c r="U14" s="116" t="s">
        <v>89</v>
      </c>
      <c r="V14" s="118" t="s">
        <v>126</v>
      </c>
      <c r="W14" s="123" t="s">
        <v>128</v>
      </c>
      <c r="X14" s="124" t="s">
        <v>190</v>
      </c>
      <c r="Y14" s="119" t="s">
        <v>57</v>
      </c>
      <c r="Z14" s="116" t="s">
        <v>57</v>
      </c>
      <c r="AA14" s="116" t="s">
        <v>57</v>
      </c>
      <c r="AB14" s="116" t="s">
        <v>57</v>
      </c>
      <c r="AC14" s="116" t="s">
        <v>57</v>
      </c>
      <c r="AD14" s="116" t="s">
        <v>57</v>
      </c>
      <c r="AE14" s="116" t="s">
        <v>57</v>
      </c>
      <c r="AF14" s="116" t="s">
        <v>57</v>
      </c>
      <c r="AG14" s="116" t="s">
        <v>57</v>
      </c>
      <c r="AH14" s="121" t="s">
        <v>57</v>
      </c>
      <c r="AI14" s="115" t="s">
        <v>57</v>
      </c>
      <c r="AJ14" s="116" t="s">
        <v>57</v>
      </c>
      <c r="AK14" s="116" t="s">
        <v>57</v>
      </c>
      <c r="AL14" s="117" t="s">
        <v>57</v>
      </c>
      <c r="AM14" s="116" t="s">
        <v>57</v>
      </c>
      <c r="AN14" s="116" t="s">
        <v>57</v>
      </c>
      <c r="AO14" s="116" t="s">
        <v>57</v>
      </c>
      <c r="AP14" s="116" t="s">
        <v>57</v>
      </c>
      <c r="AQ14" s="116" t="s">
        <v>57</v>
      </c>
      <c r="AR14" s="118" t="s">
        <v>57</v>
      </c>
      <c r="AS14" s="119" t="s">
        <v>57</v>
      </c>
      <c r="AT14" s="116" t="s">
        <v>57</v>
      </c>
      <c r="AU14" s="114" t="s">
        <v>155</v>
      </c>
      <c r="AV14" s="120"/>
      <c r="AW14" s="117"/>
      <c r="AX14" s="132"/>
      <c r="AY14" s="117"/>
      <c r="AZ14" s="132"/>
      <c r="BA14" s="133"/>
      <c r="BB14" s="18"/>
      <c r="BC14" s="18" t="str">
        <f t="shared" si="0"/>
        <v/>
      </c>
      <c r="BD14" s="18" t="str">
        <f t="shared" si="1"/>
        <v/>
      </c>
      <c r="BE14" s="18" t="str">
        <f t="shared" si="2"/>
        <v/>
      </c>
      <c r="BF14" s="18"/>
      <c r="BG14" s="18"/>
      <c r="BH14" s="18"/>
      <c r="BI14" s="18" t="str">
        <f t="shared" si="3"/>
        <v/>
      </c>
      <c r="BJ14" s="18" t="str">
        <f t="shared" si="4"/>
        <v/>
      </c>
      <c r="BK14" s="18" t="str">
        <f t="shared" si="5"/>
        <v/>
      </c>
      <c r="BL14" s="18" t="str">
        <f t="shared" si="6"/>
        <v/>
      </c>
      <c r="BM14" s="18" t="str">
        <f t="shared" si="7"/>
        <v/>
      </c>
      <c r="BN14" s="18" t="str">
        <f t="shared" si="8"/>
        <v/>
      </c>
    </row>
    <row r="15" spans="1:66" ht="7.5" customHeight="1">
      <c r="A15" s="1"/>
      <c r="B15" s="2"/>
      <c r="C15" s="3"/>
      <c r="D15" s="101"/>
      <c r="E15" s="4"/>
      <c r="F15" s="102"/>
      <c r="G15" s="2"/>
      <c r="H15" s="12"/>
      <c r="I15" s="12"/>
      <c r="J15" s="2"/>
      <c r="K15" s="12"/>
      <c r="L15" s="251"/>
      <c r="M15" s="255"/>
      <c r="N15" s="217"/>
      <c r="O15" s="2"/>
      <c r="P15" s="95"/>
      <c r="Q15" s="94"/>
      <c r="R15" s="2"/>
      <c r="S15" s="2"/>
      <c r="T15" s="2"/>
      <c r="U15" s="12"/>
      <c r="V15" s="13"/>
      <c r="W15" s="9"/>
      <c r="X15" s="10"/>
      <c r="Y15" s="11"/>
      <c r="Z15" s="12"/>
      <c r="AA15" s="12"/>
      <c r="AB15" s="12"/>
      <c r="AC15" s="12"/>
      <c r="AD15" s="12"/>
      <c r="AE15" s="12"/>
      <c r="AF15" s="12"/>
      <c r="AG15" s="12"/>
      <c r="AH15" s="103"/>
      <c r="AI15" s="102"/>
      <c r="AJ15" s="12"/>
      <c r="AK15" s="12"/>
      <c r="AL15" s="2"/>
      <c r="AM15" s="12"/>
      <c r="AN15" s="12"/>
      <c r="AO15" s="12"/>
      <c r="AP15" s="12"/>
      <c r="AQ15" s="12"/>
      <c r="AR15" s="13"/>
      <c r="AS15" s="11"/>
      <c r="AT15" s="12"/>
      <c r="AU15" s="4"/>
      <c r="AV15" s="14"/>
      <c r="AW15" s="2"/>
      <c r="AX15" s="95"/>
      <c r="AY15" s="2"/>
      <c r="AZ15" s="95"/>
      <c r="BA15" s="104"/>
      <c r="BB15" s="18"/>
      <c r="BC15" s="18" t="str">
        <f t="shared" si="0"/>
        <v/>
      </c>
      <c r="BD15" s="18" t="str">
        <f t="shared" si="1"/>
        <v/>
      </c>
      <c r="BE15" s="18" t="str">
        <f t="shared" si="2"/>
        <v/>
      </c>
      <c r="BF15" s="18"/>
      <c r="BG15" s="18"/>
      <c r="BH15" s="18"/>
      <c r="BI15" s="18" t="str">
        <f t="shared" si="3"/>
        <v/>
      </c>
      <c r="BJ15" s="18" t="str">
        <f t="shared" si="4"/>
        <v/>
      </c>
      <c r="BK15" s="18" t="str">
        <f t="shared" si="5"/>
        <v/>
      </c>
      <c r="BL15" s="18" t="str">
        <f t="shared" si="6"/>
        <v/>
      </c>
      <c r="BM15" s="18" t="str">
        <f t="shared" si="7"/>
        <v/>
      </c>
      <c r="BN15" s="18" t="str">
        <f t="shared" si="8"/>
        <v/>
      </c>
    </row>
    <row r="16" spans="1:66" ht="8.25" customHeight="1">
      <c r="A16" s="1"/>
      <c r="B16" s="2"/>
      <c r="C16" s="3"/>
      <c r="D16" s="101"/>
      <c r="E16" s="4"/>
      <c r="F16" s="102"/>
      <c r="G16" s="2"/>
      <c r="H16" s="12"/>
      <c r="I16" s="12"/>
      <c r="J16" s="2"/>
      <c r="K16" s="12"/>
      <c r="L16" s="251"/>
      <c r="M16" s="255"/>
      <c r="N16" s="217"/>
      <c r="O16" s="2"/>
      <c r="P16" s="95"/>
      <c r="Q16" s="94"/>
      <c r="R16" s="2"/>
      <c r="S16" s="2"/>
      <c r="T16" s="2"/>
      <c r="U16" s="12"/>
      <c r="V16" s="13"/>
      <c r="W16" s="9"/>
      <c r="X16" s="10"/>
      <c r="Y16" s="11"/>
      <c r="Z16" s="12"/>
      <c r="AA16" s="12"/>
      <c r="AB16" s="12"/>
      <c r="AC16" s="12"/>
      <c r="AD16" s="12"/>
      <c r="AE16" s="12"/>
      <c r="AF16" s="12"/>
      <c r="AG16" s="12"/>
      <c r="AH16" s="103"/>
      <c r="AI16" s="102"/>
      <c r="AJ16" s="12"/>
      <c r="AK16" s="12"/>
      <c r="AL16" s="2"/>
      <c r="AM16" s="12"/>
      <c r="AN16" s="12"/>
      <c r="AO16" s="12"/>
      <c r="AP16" s="12"/>
      <c r="AQ16" s="12"/>
      <c r="AR16" s="13"/>
      <c r="AS16" s="11"/>
      <c r="AT16" s="12"/>
      <c r="AU16" s="4"/>
      <c r="AV16" s="14"/>
      <c r="AW16" s="2"/>
      <c r="AX16" s="95"/>
      <c r="AY16" s="2"/>
      <c r="AZ16" s="95"/>
      <c r="BA16" s="104"/>
      <c r="BB16" s="18"/>
      <c r="BC16" s="18" t="str">
        <f t="shared" si="0"/>
        <v/>
      </c>
      <c r="BD16" s="18" t="str">
        <f t="shared" si="1"/>
        <v/>
      </c>
      <c r="BE16" s="18" t="str">
        <f t="shared" si="2"/>
        <v/>
      </c>
      <c r="BF16" s="18"/>
      <c r="BG16" s="18"/>
      <c r="BH16" s="18"/>
      <c r="BI16" s="18" t="str">
        <f t="shared" si="3"/>
        <v/>
      </c>
      <c r="BJ16" s="18" t="str">
        <f t="shared" si="4"/>
        <v/>
      </c>
      <c r="BK16" s="18" t="str">
        <f t="shared" si="5"/>
        <v/>
      </c>
      <c r="BL16" s="18" t="str">
        <f t="shared" si="6"/>
        <v/>
      </c>
      <c r="BM16" s="18" t="str">
        <f t="shared" si="7"/>
        <v/>
      </c>
      <c r="BN16" s="18" t="str">
        <f t="shared" si="8"/>
        <v/>
      </c>
    </row>
    <row r="17" spans="1:66" ht="8.25" customHeight="1">
      <c r="A17" s="1"/>
      <c r="B17" s="2"/>
      <c r="C17" s="3"/>
      <c r="D17" s="101"/>
      <c r="E17" s="4"/>
      <c r="F17" s="102"/>
      <c r="G17" s="2"/>
      <c r="H17" s="12"/>
      <c r="I17" s="12"/>
      <c r="J17" s="2"/>
      <c r="K17" s="12"/>
      <c r="L17" s="251"/>
      <c r="M17" s="255"/>
      <c r="N17" s="217"/>
      <c r="O17" s="2"/>
      <c r="P17" s="95"/>
      <c r="Q17" s="94"/>
      <c r="R17" s="2"/>
      <c r="S17" s="2"/>
      <c r="T17" s="2"/>
      <c r="U17" s="12"/>
      <c r="V17" s="13"/>
      <c r="W17" s="9"/>
      <c r="X17" s="10"/>
      <c r="Y17" s="11"/>
      <c r="Z17" s="12"/>
      <c r="AA17" s="12"/>
      <c r="AB17" s="12"/>
      <c r="AC17" s="12"/>
      <c r="AD17" s="12"/>
      <c r="AE17" s="12"/>
      <c r="AF17" s="12"/>
      <c r="AG17" s="12"/>
      <c r="AH17" s="103"/>
      <c r="AI17" s="102"/>
      <c r="AJ17" s="12"/>
      <c r="AK17" s="12"/>
      <c r="AL17" s="2"/>
      <c r="AM17" s="12"/>
      <c r="AN17" s="12"/>
      <c r="AO17" s="12"/>
      <c r="AP17" s="12"/>
      <c r="AQ17" s="12"/>
      <c r="AR17" s="13"/>
      <c r="AS17" s="11"/>
      <c r="AT17" s="12"/>
      <c r="AU17" s="4"/>
      <c r="AV17" s="14"/>
      <c r="AW17" s="2"/>
      <c r="AX17" s="95"/>
      <c r="AY17" s="2"/>
      <c r="AZ17" s="95"/>
      <c r="BA17" s="104"/>
      <c r="BB17" s="18"/>
      <c r="BC17" s="18" t="str">
        <f t="shared" si="0"/>
        <v/>
      </c>
      <c r="BD17" s="18" t="str">
        <f t="shared" si="1"/>
        <v/>
      </c>
      <c r="BE17" s="18" t="str">
        <f t="shared" si="2"/>
        <v/>
      </c>
      <c r="BF17" s="18"/>
      <c r="BG17" s="18"/>
      <c r="BH17" s="18"/>
      <c r="BI17" s="18" t="str">
        <f t="shared" si="3"/>
        <v/>
      </c>
      <c r="BJ17" s="18" t="str">
        <f t="shared" si="4"/>
        <v/>
      </c>
      <c r="BK17" s="18" t="str">
        <f t="shared" si="5"/>
        <v/>
      </c>
      <c r="BL17" s="18" t="str">
        <f t="shared" si="6"/>
        <v/>
      </c>
      <c r="BM17" s="18" t="str">
        <f t="shared" si="7"/>
        <v/>
      </c>
      <c r="BN17" s="18" t="str">
        <f t="shared" si="8"/>
        <v/>
      </c>
    </row>
    <row r="18" spans="1:66" ht="8.25" customHeight="1">
      <c r="A18" s="1"/>
      <c r="B18" s="2"/>
      <c r="C18" s="3"/>
      <c r="D18" s="101"/>
      <c r="E18" s="4"/>
      <c r="F18" s="102"/>
      <c r="G18" s="2"/>
      <c r="H18" s="12"/>
      <c r="I18" s="12"/>
      <c r="J18" s="2"/>
      <c r="K18" s="12"/>
      <c r="L18" s="251"/>
      <c r="M18" s="255"/>
      <c r="N18" s="217"/>
      <c r="O18" s="2"/>
      <c r="P18" s="95"/>
      <c r="Q18" s="94"/>
      <c r="R18" s="2"/>
      <c r="S18" s="2"/>
      <c r="T18" s="2"/>
      <c r="U18" s="12"/>
      <c r="V18" s="13"/>
      <c r="W18" s="9"/>
      <c r="X18" s="10"/>
      <c r="Y18" s="11"/>
      <c r="Z18" s="12"/>
      <c r="AA18" s="12"/>
      <c r="AB18" s="12"/>
      <c r="AC18" s="12"/>
      <c r="AD18" s="12"/>
      <c r="AE18" s="12"/>
      <c r="AF18" s="12"/>
      <c r="AG18" s="12"/>
      <c r="AH18" s="103"/>
      <c r="AI18" s="102"/>
      <c r="AJ18" s="12"/>
      <c r="AK18" s="12"/>
      <c r="AL18" s="2"/>
      <c r="AM18" s="12"/>
      <c r="AN18" s="12"/>
      <c r="AO18" s="12"/>
      <c r="AP18" s="12"/>
      <c r="AQ18" s="12"/>
      <c r="AR18" s="13"/>
      <c r="AS18" s="11"/>
      <c r="AT18" s="12"/>
      <c r="AU18" s="4"/>
      <c r="AV18" s="14"/>
      <c r="AW18" s="2"/>
      <c r="AX18" s="95"/>
      <c r="AY18" s="2"/>
      <c r="AZ18" s="95"/>
      <c r="BA18" s="104"/>
      <c r="BB18" s="18"/>
      <c r="BC18" s="18" t="str">
        <f t="shared" si="0"/>
        <v/>
      </c>
      <c r="BD18" s="18" t="str">
        <f t="shared" si="1"/>
        <v/>
      </c>
      <c r="BE18" s="18" t="str">
        <f t="shared" si="2"/>
        <v/>
      </c>
      <c r="BF18" s="18"/>
      <c r="BG18" s="18"/>
      <c r="BH18" s="18"/>
      <c r="BI18" s="18" t="str">
        <f t="shared" si="3"/>
        <v/>
      </c>
      <c r="BJ18" s="18" t="str">
        <f t="shared" si="4"/>
        <v/>
      </c>
      <c r="BK18" s="18" t="str">
        <f t="shared" si="5"/>
        <v/>
      </c>
      <c r="BL18" s="18" t="str">
        <f t="shared" si="6"/>
        <v/>
      </c>
      <c r="BM18" s="18" t="str">
        <f t="shared" si="7"/>
        <v/>
      </c>
      <c r="BN18" s="18" t="str">
        <f t="shared" si="8"/>
        <v/>
      </c>
    </row>
    <row r="19" spans="1:66" ht="8.25" customHeight="1">
      <c r="A19" s="1"/>
      <c r="B19" s="2"/>
      <c r="C19" s="3"/>
      <c r="D19" s="101"/>
      <c r="E19" s="4"/>
      <c r="F19" s="102"/>
      <c r="G19" s="2"/>
      <c r="H19" s="12"/>
      <c r="I19" s="12"/>
      <c r="J19" s="2"/>
      <c r="K19" s="12"/>
      <c r="L19" s="251"/>
      <c r="M19" s="255"/>
      <c r="N19" s="217"/>
      <c r="O19" s="2"/>
      <c r="P19" s="95"/>
      <c r="Q19" s="94"/>
      <c r="R19" s="2"/>
      <c r="S19" s="2"/>
      <c r="T19" s="2"/>
      <c r="U19" s="12"/>
      <c r="V19" s="13"/>
      <c r="W19" s="9"/>
      <c r="X19" s="10"/>
      <c r="Y19" s="11"/>
      <c r="Z19" s="12"/>
      <c r="AA19" s="12"/>
      <c r="AB19" s="12"/>
      <c r="AC19" s="12"/>
      <c r="AD19" s="12"/>
      <c r="AE19" s="12"/>
      <c r="AF19" s="12"/>
      <c r="AG19" s="12"/>
      <c r="AH19" s="103"/>
      <c r="AI19" s="102"/>
      <c r="AJ19" s="12"/>
      <c r="AK19" s="12"/>
      <c r="AL19" s="2"/>
      <c r="AM19" s="12"/>
      <c r="AN19" s="12"/>
      <c r="AO19" s="12"/>
      <c r="AP19" s="12"/>
      <c r="AQ19" s="12"/>
      <c r="AR19" s="13"/>
      <c r="AS19" s="11"/>
      <c r="AT19" s="12"/>
      <c r="AU19" s="4"/>
      <c r="AV19" s="14"/>
      <c r="AW19" s="2"/>
      <c r="AX19" s="95"/>
      <c r="AY19" s="2"/>
      <c r="AZ19" s="95"/>
      <c r="BA19" s="104"/>
      <c r="BB19" s="18"/>
      <c r="BC19" s="18" t="str">
        <f t="shared" si="0"/>
        <v/>
      </c>
      <c r="BD19" s="18" t="str">
        <f t="shared" si="1"/>
        <v/>
      </c>
      <c r="BE19" s="18" t="str">
        <f t="shared" si="2"/>
        <v/>
      </c>
      <c r="BF19" s="18"/>
      <c r="BG19" s="18"/>
      <c r="BH19" s="18"/>
      <c r="BI19" s="18" t="str">
        <f t="shared" si="3"/>
        <v/>
      </c>
      <c r="BJ19" s="18" t="str">
        <f t="shared" si="4"/>
        <v/>
      </c>
      <c r="BK19" s="18" t="str">
        <f t="shared" si="5"/>
        <v/>
      </c>
      <c r="BL19" s="18" t="str">
        <f t="shared" si="6"/>
        <v/>
      </c>
      <c r="BM19" s="18" t="str">
        <f t="shared" si="7"/>
        <v/>
      </c>
      <c r="BN19" s="18" t="str">
        <f t="shared" si="8"/>
        <v/>
      </c>
    </row>
    <row r="20" spans="1:66" ht="8.25" customHeight="1">
      <c r="A20" s="1"/>
      <c r="B20" s="2"/>
      <c r="C20" s="3"/>
      <c r="D20" s="101"/>
      <c r="E20" s="4"/>
      <c r="F20" s="102"/>
      <c r="G20" s="2"/>
      <c r="H20" s="12"/>
      <c r="I20" s="12"/>
      <c r="J20" s="2"/>
      <c r="K20" s="12"/>
      <c r="L20" s="251"/>
      <c r="M20" s="255"/>
      <c r="N20" s="217"/>
      <c r="O20" s="2"/>
      <c r="P20" s="95"/>
      <c r="Q20" s="94"/>
      <c r="R20" s="2"/>
      <c r="S20" s="2"/>
      <c r="T20" s="2"/>
      <c r="U20" s="12"/>
      <c r="V20" s="13"/>
      <c r="W20" s="9"/>
      <c r="X20" s="10"/>
      <c r="Y20" s="11"/>
      <c r="Z20" s="12"/>
      <c r="AA20" s="12"/>
      <c r="AB20" s="12"/>
      <c r="AC20" s="12"/>
      <c r="AD20" s="12"/>
      <c r="AE20" s="12"/>
      <c r="AF20" s="12"/>
      <c r="AG20" s="12"/>
      <c r="AH20" s="103"/>
      <c r="AI20" s="102"/>
      <c r="AJ20" s="12"/>
      <c r="AK20" s="12"/>
      <c r="AL20" s="2"/>
      <c r="AM20" s="12"/>
      <c r="AN20" s="12"/>
      <c r="AO20" s="12"/>
      <c r="AP20" s="12"/>
      <c r="AQ20" s="12"/>
      <c r="AR20" s="13"/>
      <c r="AS20" s="11"/>
      <c r="AT20" s="12"/>
      <c r="AU20" s="4"/>
      <c r="AV20" s="14"/>
      <c r="AW20" s="2"/>
      <c r="AX20" s="95"/>
      <c r="AY20" s="2"/>
      <c r="AZ20" s="95"/>
      <c r="BA20" s="104"/>
      <c r="BB20" s="18"/>
      <c r="BC20" s="18" t="str">
        <f t="shared" si="0"/>
        <v/>
      </c>
      <c r="BD20" s="18" t="str">
        <f t="shared" si="1"/>
        <v/>
      </c>
      <c r="BE20" s="18" t="str">
        <f t="shared" si="2"/>
        <v/>
      </c>
      <c r="BF20" s="18"/>
      <c r="BG20" s="18"/>
      <c r="BH20" s="18"/>
      <c r="BI20" s="18" t="str">
        <f t="shared" si="3"/>
        <v/>
      </c>
      <c r="BJ20" s="18" t="str">
        <f t="shared" si="4"/>
        <v/>
      </c>
      <c r="BK20" s="18" t="str">
        <f t="shared" si="5"/>
        <v/>
      </c>
      <c r="BL20" s="18" t="str">
        <f t="shared" si="6"/>
        <v/>
      </c>
      <c r="BM20" s="18" t="str">
        <f t="shared" si="7"/>
        <v/>
      </c>
      <c r="BN20" s="18" t="str">
        <f t="shared" si="8"/>
        <v/>
      </c>
    </row>
    <row r="21" spans="1:66" ht="8.25" customHeight="1">
      <c r="A21" s="1"/>
      <c r="B21" s="2"/>
      <c r="C21" s="3"/>
      <c r="D21" s="101"/>
      <c r="E21" s="4"/>
      <c r="F21" s="102"/>
      <c r="G21" s="2"/>
      <c r="H21" s="12"/>
      <c r="I21" s="12"/>
      <c r="J21" s="2"/>
      <c r="K21" s="12"/>
      <c r="L21" s="251"/>
      <c r="M21" s="255"/>
      <c r="N21" s="217"/>
      <c r="O21" s="2"/>
      <c r="P21" s="95"/>
      <c r="Q21" s="94"/>
      <c r="R21" s="2"/>
      <c r="S21" s="2"/>
      <c r="T21" s="2"/>
      <c r="U21" s="12"/>
      <c r="V21" s="13"/>
      <c r="W21" s="9"/>
      <c r="X21" s="10"/>
      <c r="Y21" s="11"/>
      <c r="Z21" s="12"/>
      <c r="AA21" s="12"/>
      <c r="AB21" s="12"/>
      <c r="AC21" s="12"/>
      <c r="AD21" s="12"/>
      <c r="AE21" s="12"/>
      <c r="AF21" s="12"/>
      <c r="AG21" s="12"/>
      <c r="AH21" s="103"/>
      <c r="AI21" s="102"/>
      <c r="AJ21" s="12"/>
      <c r="AK21" s="12"/>
      <c r="AL21" s="2"/>
      <c r="AM21" s="12"/>
      <c r="AN21" s="12"/>
      <c r="AO21" s="12"/>
      <c r="AP21" s="12"/>
      <c r="AQ21" s="12"/>
      <c r="AR21" s="13"/>
      <c r="AS21" s="11"/>
      <c r="AT21" s="12"/>
      <c r="AU21" s="4"/>
      <c r="AV21" s="14"/>
      <c r="AW21" s="2"/>
      <c r="AX21" s="95"/>
      <c r="AY21" s="2"/>
      <c r="AZ21" s="95"/>
      <c r="BA21" s="104"/>
      <c r="BB21" s="18"/>
      <c r="BC21" s="18" t="str">
        <f t="shared" si="0"/>
        <v/>
      </c>
      <c r="BD21" s="18" t="str">
        <f t="shared" si="1"/>
        <v/>
      </c>
      <c r="BE21" s="18" t="str">
        <f t="shared" si="2"/>
        <v/>
      </c>
      <c r="BF21" s="18"/>
      <c r="BG21" s="18"/>
      <c r="BH21" s="18"/>
      <c r="BI21" s="18" t="str">
        <f t="shared" si="3"/>
        <v/>
      </c>
      <c r="BJ21" s="18" t="str">
        <f t="shared" si="4"/>
        <v/>
      </c>
      <c r="BK21" s="18" t="str">
        <f t="shared" si="5"/>
        <v/>
      </c>
      <c r="BL21" s="18" t="str">
        <f t="shared" si="6"/>
        <v/>
      </c>
      <c r="BM21" s="18" t="str">
        <f t="shared" si="7"/>
        <v/>
      </c>
      <c r="BN21" s="18" t="str">
        <f t="shared" si="8"/>
        <v/>
      </c>
    </row>
    <row r="22" spans="1:66" ht="8.25" customHeight="1">
      <c r="A22" s="1"/>
      <c r="B22" s="2"/>
      <c r="C22" s="3"/>
      <c r="D22" s="101"/>
      <c r="E22" s="4"/>
      <c r="F22" s="102"/>
      <c r="G22" s="2"/>
      <c r="H22" s="12"/>
      <c r="I22" s="12"/>
      <c r="J22" s="2"/>
      <c r="K22" s="12"/>
      <c r="L22" s="251"/>
      <c r="M22" s="255"/>
      <c r="N22" s="217"/>
      <c r="O22" s="2"/>
      <c r="P22" s="95"/>
      <c r="Q22" s="94"/>
      <c r="R22" s="2"/>
      <c r="S22" s="2"/>
      <c r="T22" s="2"/>
      <c r="U22" s="12"/>
      <c r="V22" s="13"/>
      <c r="W22" s="9"/>
      <c r="X22" s="10"/>
      <c r="Y22" s="11"/>
      <c r="Z22" s="12"/>
      <c r="AA22" s="12"/>
      <c r="AB22" s="12"/>
      <c r="AC22" s="12"/>
      <c r="AD22" s="12"/>
      <c r="AE22" s="12"/>
      <c r="AF22" s="12"/>
      <c r="AG22" s="12"/>
      <c r="AH22" s="103"/>
      <c r="AI22" s="102"/>
      <c r="AJ22" s="12"/>
      <c r="AK22" s="12"/>
      <c r="AL22" s="2"/>
      <c r="AM22" s="12"/>
      <c r="AN22" s="12"/>
      <c r="AO22" s="12"/>
      <c r="AP22" s="12"/>
      <c r="AQ22" s="12"/>
      <c r="AR22" s="13"/>
      <c r="AS22" s="11"/>
      <c r="AT22" s="12"/>
      <c r="AU22" s="4"/>
      <c r="AV22" s="14"/>
      <c r="AW22" s="2"/>
      <c r="AX22" s="95"/>
      <c r="AY22" s="2"/>
      <c r="AZ22" s="95"/>
      <c r="BA22" s="104"/>
      <c r="BB22" s="18"/>
      <c r="BC22" s="18" t="str">
        <f t="shared" si="0"/>
        <v/>
      </c>
      <c r="BD22" s="18" t="str">
        <f t="shared" si="1"/>
        <v/>
      </c>
      <c r="BE22" s="18" t="str">
        <f t="shared" si="2"/>
        <v/>
      </c>
      <c r="BF22" s="18"/>
      <c r="BG22" s="18"/>
      <c r="BH22" s="18"/>
      <c r="BI22" s="18" t="str">
        <f t="shared" si="3"/>
        <v/>
      </c>
      <c r="BJ22" s="18" t="str">
        <f t="shared" si="4"/>
        <v/>
      </c>
      <c r="BK22" s="18" t="str">
        <f t="shared" si="5"/>
        <v/>
      </c>
      <c r="BL22" s="18" t="str">
        <f t="shared" si="6"/>
        <v/>
      </c>
      <c r="BM22" s="18" t="str">
        <f t="shared" si="7"/>
        <v/>
      </c>
      <c r="BN22" s="18" t="str">
        <f t="shared" si="8"/>
        <v/>
      </c>
    </row>
    <row r="23" spans="1:66" ht="8.25" customHeight="1">
      <c r="A23" s="1"/>
      <c r="B23" s="2"/>
      <c r="C23" s="3"/>
      <c r="D23" s="101"/>
      <c r="E23" s="4"/>
      <c r="F23" s="102"/>
      <c r="G23" s="2"/>
      <c r="H23" s="12"/>
      <c r="I23" s="12"/>
      <c r="J23" s="2"/>
      <c r="K23" s="12"/>
      <c r="L23" s="251"/>
      <c r="M23" s="255"/>
      <c r="N23" s="217"/>
      <c r="O23" s="2"/>
      <c r="P23" s="95"/>
      <c r="Q23" s="94"/>
      <c r="R23" s="2"/>
      <c r="S23" s="2"/>
      <c r="T23" s="2"/>
      <c r="U23" s="12"/>
      <c r="V23" s="13"/>
      <c r="W23" s="9"/>
      <c r="X23" s="10"/>
      <c r="Y23" s="11"/>
      <c r="Z23" s="12"/>
      <c r="AA23" s="12"/>
      <c r="AB23" s="12"/>
      <c r="AC23" s="12"/>
      <c r="AD23" s="12"/>
      <c r="AE23" s="12"/>
      <c r="AF23" s="12"/>
      <c r="AG23" s="12"/>
      <c r="AH23" s="103"/>
      <c r="AI23" s="102"/>
      <c r="AJ23" s="12"/>
      <c r="AK23" s="12"/>
      <c r="AL23" s="2"/>
      <c r="AM23" s="12"/>
      <c r="AN23" s="12"/>
      <c r="AO23" s="12"/>
      <c r="AP23" s="12"/>
      <c r="AQ23" s="12"/>
      <c r="AR23" s="13"/>
      <c r="AS23" s="11"/>
      <c r="AT23" s="12"/>
      <c r="AU23" s="4"/>
      <c r="AV23" s="14"/>
      <c r="AW23" s="2"/>
      <c r="AX23" s="95"/>
      <c r="AY23" s="2"/>
      <c r="AZ23" s="95"/>
      <c r="BA23" s="104"/>
      <c r="BB23" s="18"/>
      <c r="BC23" s="18" t="str">
        <f t="shared" si="0"/>
        <v/>
      </c>
      <c r="BD23" s="18" t="str">
        <f t="shared" si="1"/>
        <v/>
      </c>
      <c r="BE23" s="18" t="str">
        <f t="shared" si="2"/>
        <v/>
      </c>
      <c r="BF23" s="18"/>
      <c r="BG23" s="18"/>
      <c r="BH23" s="18"/>
      <c r="BI23" s="18" t="str">
        <f t="shared" si="3"/>
        <v/>
      </c>
      <c r="BJ23" s="18" t="str">
        <f t="shared" si="4"/>
        <v/>
      </c>
      <c r="BK23" s="18" t="str">
        <f t="shared" si="5"/>
        <v/>
      </c>
      <c r="BL23" s="18" t="str">
        <f t="shared" si="6"/>
        <v/>
      </c>
      <c r="BM23" s="18" t="str">
        <f t="shared" si="7"/>
        <v/>
      </c>
      <c r="BN23" s="18" t="str">
        <f t="shared" si="8"/>
        <v/>
      </c>
    </row>
    <row r="24" spans="1:66" ht="8.25" customHeight="1">
      <c r="A24" s="1"/>
      <c r="B24" s="2"/>
      <c r="C24" s="3"/>
      <c r="D24" s="101"/>
      <c r="E24" s="4"/>
      <c r="F24" s="102"/>
      <c r="G24" s="2"/>
      <c r="H24" s="12"/>
      <c r="I24" s="12"/>
      <c r="J24" s="2"/>
      <c r="K24" s="12"/>
      <c r="L24" s="251"/>
      <c r="M24" s="255"/>
      <c r="N24" s="217"/>
      <c r="O24" s="2"/>
      <c r="P24" s="95"/>
      <c r="Q24" s="94"/>
      <c r="R24" s="2"/>
      <c r="S24" s="2"/>
      <c r="T24" s="2"/>
      <c r="U24" s="12"/>
      <c r="V24" s="13"/>
      <c r="W24" s="9"/>
      <c r="X24" s="10"/>
      <c r="Y24" s="11"/>
      <c r="Z24" s="12"/>
      <c r="AA24" s="12"/>
      <c r="AB24" s="12"/>
      <c r="AC24" s="12"/>
      <c r="AD24" s="12"/>
      <c r="AE24" s="12"/>
      <c r="AF24" s="12"/>
      <c r="AG24" s="12"/>
      <c r="AH24" s="103"/>
      <c r="AI24" s="102"/>
      <c r="AJ24" s="12"/>
      <c r="AK24" s="12"/>
      <c r="AL24" s="2"/>
      <c r="AM24" s="12"/>
      <c r="AN24" s="12"/>
      <c r="AO24" s="12"/>
      <c r="AP24" s="12"/>
      <c r="AQ24" s="12"/>
      <c r="AR24" s="13"/>
      <c r="AS24" s="11"/>
      <c r="AT24" s="12"/>
      <c r="AU24" s="4"/>
      <c r="AV24" s="14"/>
      <c r="AW24" s="2"/>
      <c r="AX24" s="95"/>
      <c r="AY24" s="2"/>
      <c r="AZ24" s="95"/>
      <c r="BA24" s="104"/>
      <c r="BB24" s="18"/>
      <c r="BC24" s="18" t="str">
        <f t="shared" si="0"/>
        <v/>
      </c>
      <c r="BD24" s="18" t="str">
        <f t="shared" si="1"/>
        <v/>
      </c>
      <c r="BE24" s="18" t="str">
        <f t="shared" si="2"/>
        <v/>
      </c>
      <c r="BF24" s="18"/>
      <c r="BG24" s="18"/>
      <c r="BH24" s="18"/>
      <c r="BI24" s="18" t="str">
        <f t="shared" si="3"/>
        <v/>
      </c>
      <c r="BJ24" s="18" t="str">
        <f t="shared" si="4"/>
        <v/>
      </c>
      <c r="BK24" s="18" t="str">
        <f t="shared" si="5"/>
        <v/>
      </c>
      <c r="BL24" s="18" t="str">
        <f t="shared" si="6"/>
        <v/>
      </c>
      <c r="BM24" s="18" t="str">
        <f t="shared" si="7"/>
        <v/>
      </c>
      <c r="BN24" s="18" t="str">
        <f t="shared" si="8"/>
        <v/>
      </c>
    </row>
    <row r="25" spans="1:66" ht="8.25" customHeight="1">
      <c r="A25" s="1"/>
      <c r="B25" s="2"/>
      <c r="C25" s="3"/>
      <c r="D25" s="101"/>
      <c r="E25" s="4"/>
      <c r="F25" s="102"/>
      <c r="G25" s="2"/>
      <c r="H25" s="12"/>
      <c r="I25" s="12"/>
      <c r="J25" s="2"/>
      <c r="K25" s="12"/>
      <c r="L25" s="251"/>
      <c r="M25" s="216"/>
      <c r="N25" s="217"/>
      <c r="O25" s="2"/>
      <c r="P25" s="95"/>
      <c r="Q25" s="94"/>
      <c r="R25" s="2"/>
      <c r="S25" s="2"/>
      <c r="T25" s="2"/>
      <c r="U25" s="12"/>
      <c r="V25" s="13"/>
      <c r="W25" s="9"/>
      <c r="X25" s="10"/>
      <c r="Y25" s="11"/>
      <c r="Z25" s="12"/>
      <c r="AA25" s="12"/>
      <c r="AB25" s="12"/>
      <c r="AC25" s="12"/>
      <c r="AD25" s="12"/>
      <c r="AE25" s="12"/>
      <c r="AF25" s="12"/>
      <c r="AG25" s="12"/>
      <c r="AH25" s="103"/>
      <c r="AI25" s="102"/>
      <c r="AJ25" s="12"/>
      <c r="AK25" s="12"/>
      <c r="AL25" s="2"/>
      <c r="AM25" s="12"/>
      <c r="AN25" s="12"/>
      <c r="AO25" s="12"/>
      <c r="AP25" s="12"/>
      <c r="AQ25" s="12"/>
      <c r="AR25" s="13"/>
      <c r="AS25" s="11"/>
      <c r="AT25" s="12"/>
      <c r="AU25" s="4"/>
      <c r="AV25" s="14"/>
      <c r="AW25" s="2"/>
      <c r="AX25" s="95"/>
      <c r="AY25" s="2"/>
      <c r="AZ25" s="95"/>
      <c r="BA25" s="104"/>
      <c r="BB25" s="18"/>
      <c r="BC25" s="18" t="str">
        <f t="shared" si="0"/>
        <v/>
      </c>
      <c r="BD25" s="18" t="str">
        <f t="shared" si="1"/>
        <v/>
      </c>
      <c r="BE25" s="18" t="str">
        <f t="shared" si="2"/>
        <v/>
      </c>
      <c r="BF25" s="18"/>
      <c r="BG25" s="18"/>
      <c r="BH25" s="18"/>
      <c r="BI25" s="18" t="str">
        <f t="shared" si="3"/>
        <v/>
      </c>
      <c r="BJ25" s="18" t="str">
        <f t="shared" si="4"/>
        <v/>
      </c>
      <c r="BK25" s="18" t="str">
        <f t="shared" si="5"/>
        <v/>
      </c>
      <c r="BL25" s="18" t="str">
        <f t="shared" si="6"/>
        <v/>
      </c>
      <c r="BM25" s="18" t="str">
        <f t="shared" si="7"/>
        <v/>
      </c>
      <c r="BN25" s="18" t="str">
        <f t="shared" si="8"/>
        <v/>
      </c>
    </row>
    <row r="26" spans="1:66" ht="8.25" customHeight="1">
      <c r="A26" s="1"/>
      <c r="B26" s="2"/>
      <c r="C26" s="3"/>
      <c r="D26" s="101"/>
      <c r="E26" s="4"/>
      <c r="F26" s="102"/>
      <c r="G26" s="2"/>
      <c r="H26" s="12"/>
      <c r="I26" s="12"/>
      <c r="J26" s="2"/>
      <c r="K26" s="12"/>
      <c r="L26" s="251"/>
      <c r="M26" s="216"/>
      <c r="N26" s="217"/>
      <c r="O26" s="2"/>
      <c r="P26" s="95"/>
      <c r="Q26" s="94"/>
      <c r="R26" s="2"/>
      <c r="S26" s="2"/>
      <c r="T26" s="2"/>
      <c r="U26" s="12"/>
      <c r="V26" s="13"/>
      <c r="W26" s="9"/>
      <c r="X26" s="10"/>
      <c r="Y26" s="11"/>
      <c r="Z26" s="12"/>
      <c r="AA26" s="12"/>
      <c r="AB26" s="12"/>
      <c r="AC26" s="12"/>
      <c r="AD26" s="12"/>
      <c r="AE26" s="12"/>
      <c r="AF26" s="12"/>
      <c r="AG26" s="12"/>
      <c r="AH26" s="103"/>
      <c r="AI26" s="102"/>
      <c r="AJ26" s="12"/>
      <c r="AK26" s="12"/>
      <c r="AL26" s="2"/>
      <c r="AM26" s="12"/>
      <c r="AN26" s="12"/>
      <c r="AO26" s="12"/>
      <c r="AP26" s="12"/>
      <c r="AQ26" s="12"/>
      <c r="AR26" s="13"/>
      <c r="AS26" s="11"/>
      <c r="AT26" s="12"/>
      <c r="AU26" s="4"/>
      <c r="AV26" s="14"/>
      <c r="AW26" s="2"/>
      <c r="AX26" s="95"/>
      <c r="AY26" s="2"/>
      <c r="AZ26" s="95"/>
      <c r="BA26" s="104"/>
      <c r="BB26" s="18"/>
      <c r="BC26" s="18" t="str">
        <f t="shared" si="0"/>
        <v/>
      </c>
      <c r="BD26" s="18" t="str">
        <f t="shared" si="1"/>
        <v/>
      </c>
      <c r="BE26" s="18" t="str">
        <f t="shared" si="2"/>
        <v/>
      </c>
      <c r="BF26" s="18"/>
      <c r="BG26" s="18"/>
      <c r="BH26" s="18"/>
      <c r="BI26" s="18" t="str">
        <f t="shared" si="3"/>
        <v/>
      </c>
      <c r="BJ26" s="18" t="str">
        <f t="shared" si="4"/>
        <v/>
      </c>
      <c r="BK26" s="18" t="str">
        <f t="shared" si="5"/>
        <v/>
      </c>
      <c r="BL26" s="18" t="str">
        <f t="shared" si="6"/>
        <v/>
      </c>
      <c r="BM26" s="18" t="str">
        <f t="shared" si="7"/>
        <v/>
      </c>
      <c r="BN26" s="18" t="str">
        <f t="shared" si="8"/>
        <v/>
      </c>
    </row>
    <row r="27" spans="1:66" ht="8.25" customHeight="1">
      <c r="A27" s="1"/>
      <c r="B27" s="2"/>
      <c r="C27" s="3"/>
      <c r="D27" s="101"/>
      <c r="E27" s="4"/>
      <c r="F27" s="102"/>
      <c r="G27" s="2"/>
      <c r="H27" s="12"/>
      <c r="I27" s="12"/>
      <c r="J27" s="2"/>
      <c r="K27" s="12"/>
      <c r="L27" s="251"/>
      <c r="M27" s="216"/>
      <c r="N27" s="217"/>
      <c r="O27" s="2"/>
      <c r="P27" s="95"/>
      <c r="Q27" s="94"/>
      <c r="R27" s="2"/>
      <c r="S27" s="2"/>
      <c r="T27" s="2"/>
      <c r="U27" s="12"/>
      <c r="V27" s="13"/>
      <c r="W27" s="9"/>
      <c r="X27" s="10"/>
      <c r="Y27" s="11"/>
      <c r="Z27" s="12"/>
      <c r="AA27" s="12"/>
      <c r="AB27" s="12"/>
      <c r="AC27" s="12"/>
      <c r="AD27" s="12"/>
      <c r="AE27" s="12"/>
      <c r="AF27" s="12"/>
      <c r="AG27" s="12"/>
      <c r="AH27" s="103"/>
      <c r="AI27" s="102"/>
      <c r="AJ27" s="12"/>
      <c r="AK27" s="12"/>
      <c r="AL27" s="2"/>
      <c r="AM27" s="12"/>
      <c r="AN27" s="12"/>
      <c r="AO27" s="12"/>
      <c r="AP27" s="12"/>
      <c r="AQ27" s="12"/>
      <c r="AR27" s="13"/>
      <c r="AS27" s="11"/>
      <c r="AT27" s="12"/>
      <c r="AU27" s="4"/>
      <c r="AV27" s="14"/>
      <c r="AW27" s="2"/>
      <c r="AX27" s="95"/>
      <c r="AY27" s="2"/>
      <c r="AZ27" s="95"/>
      <c r="BA27" s="104"/>
      <c r="BB27" s="18"/>
      <c r="BC27" s="18" t="str">
        <f t="shared" si="0"/>
        <v/>
      </c>
      <c r="BD27" s="18" t="str">
        <f t="shared" si="1"/>
        <v/>
      </c>
      <c r="BE27" s="18" t="str">
        <f t="shared" si="2"/>
        <v/>
      </c>
      <c r="BF27" s="18"/>
      <c r="BG27" s="18"/>
      <c r="BH27" s="18"/>
      <c r="BI27" s="18" t="str">
        <f t="shared" si="3"/>
        <v/>
      </c>
      <c r="BJ27" s="18" t="str">
        <f t="shared" si="4"/>
        <v/>
      </c>
      <c r="BK27" s="18" t="str">
        <f t="shared" si="5"/>
        <v/>
      </c>
      <c r="BL27" s="18" t="str">
        <f t="shared" si="6"/>
        <v/>
      </c>
      <c r="BM27" s="18" t="str">
        <f t="shared" si="7"/>
        <v/>
      </c>
      <c r="BN27" s="18" t="str">
        <f t="shared" si="8"/>
        <v/>
      </c>
    </row>
    <row r="28" spans="1:66" ht="8.25" customHeight="1" thickBot="1">
      <c r="A28" s="31"/>
      <c r="B28" s="39"/>
      <c r="C28" s="40"/>
      <c r="D28" s="34"/>
      <c r="E28" s="105"/>
      <c r="F28" s="106"/>
      <c r="G28" s="32"/>
      <c r="H28" s="39"/>
      <c r="I28" s="39"/>
      <c r="J28" s="32"/>
      <c r="K28" s="39"/>
      <c r="L28" s="38"/>
      <c r="M28" s="256"/>
      <c r="N28" s="257"/>
      <c r="O28" s="32"/>
      <c r="P28" s="37"/>
      <c r="Q28" s="108"/>
      <c r="R28" s="39"/>
      <c r="S28" s="39"/>
      <c r="T28" s="39"/>
      <c r="U28" s="32"/>
      <c r="V28" s="40"/>
      <c r="W28" s="41"/>
      <c r="X28" s="42"/>
      <c r="Y28" s="43"/>
      <c r="Z28" s="39"/>
      <c r="AA28" s="39"/>
      <c r="AB28" s="39"/>
      <c r="AC28" s="39"/>
      <c r="AD28" s="39"/>
      <c r="AE28" s="39"/>
      <c r="AF28" s="39"/>
      <c r="AG28" s="39"/>
      <c r="AH28" s="105"/>
      <c r="AI28" s="106"/>
      <c r="AJ28" s="39"/>
      <c r="AK28" s="39"/>
      <c r="AL28" s="39"/>
      <c r="AM28" s="39"/>
      <c r="AN28" s="39"/>
      <c r="AO28" s="39"/>
      <c r="AP28" s="39"/>
      <c r="AQ28" s="39"/>
      <c r="AR28" s="40"/>
      <c r="AS28" s="43"/>
      <c r="AT28" s="39"/>
      <c r="AU28" s="35"/>
      <c r="AV28" s="43"/>
      <c r="AW28" s="32"/>
      <c r="AX28" s="32"/>
      <c r="AY28" s="32"/>
      <c r="AZ28" s="37"/>
      <c r="BA28" s="44"/>
      <c r="BB28" s="18"/>
      <c r="BC28" s="18" t="str">
        <f t="shared" si="0"/>
        <v/>
      </c>
      <c r="BD28" s="18" t="str">
        <f t="shared" si="1"/>
        <v/>
      </c>
      <c r="BE28" s="18" t="str">
        <f t="shared" si="2"/>
        <v/>
      </c>
      <c r="BF28" s="18"/>
      <c r="BG28" s="18"/>
      <c r="BH28" s="18"/>
      <c r="BI28" s="18" t="str">
        <f t="shared" si="3"/>
        <v/>
      </c>
      <c r="BJ28" s="18" t="str">
        <f t="shared" si="4"/>
        <v/>
      </c>
      <c r="BK28" s="18" t="str">
        <f t="shared" si="5"/>
        <v/>
      </c>
      <c r="BL28" s="18" t="str">
        <f t="shared" si="6"/>
        <v/>
      </c>
      <c r="BM28" s="18" t="str">
        <f t="shared" si="7"/>
        <v/>
      </c>
      <c r="BN28" s="18" t="str">
        <f t="shared" si="8"/>
        <v/>
      </c>
    </row>
    <row r="29" spans="1:66" ht="9" customHeight="1" thickBot="1">
      <c r="A29" s="74"/>
      <c r="B29" s="74"/>
      <c r="C29" s="18"/>
      <c r="D29" s="74"/>
      <c r="E29" s="74"/>
      <c r="F29" s="18"/>
      <c r="G29" s="18"/>
      <c r="H29" s="18"/>
      <c r="I29" s="74"/>
      <c r="J29" s="75"/>
      <c r="K29" s="74"/>
      <c r="L29" s="337"/>
      <c r="M29" s="332"/>
      <c r="N29" s="332"/>
      <c r="O29" s="74"/>
      <c r="P29" s="74"/>
      <c r="Q29" s="74"/>
      <c r="R29" s="74"/>
      <c r="S29" s="74"/>
      <c r="T29" s="74"/>
      <c r="U29" s="18"/>
      <c r="V29" s="74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</row>
    <row r="30" spans="1:66" ht="8.25" customHeight="1">
      <c r="A30" s="74"/>
      <c r="B30" s="74"/>
      <c r="C30" s="74"/>
      <c r="D30" s="74"/>
      <c r="E30" s="74"/>
      <c r="F30" s="18"/>
      <c r="G30" s="18"/>
      <c r="H30" s="18"/>
      <c r="I30" s="74"/>
      <c r="J30" s="75"/>
      <c r="K30" s="74"/>
      <c r="L30" s="337"/>
      <c r="M30" s="332"/>
      <c r="N30" s="332"/>
      <c r="O30" s="74"/>
      <c r="P30" s="74"/>
      <c r="Q30" s="74"/>
      <c r="R30" s="74"/>
      <c r="S30" s="74"/>
      <c r="T30" s="74"/>
      <c r="U30" s="18"/>
      <c r="V30" s="74"/>
      <c r="W30" s="18"/>
      <c r="X30" s="47" t="s">
        <v>59</v>
      </c>
      <c r="Y30" s="45">
        <f>AVERAGE(Y$5:Y28)</f>
        <v>0</v>
      </c>
      <c r="Z30" s="45">
        <f>AVERAGE(Z$5:Z28)</f>
        <v>0</v>
      </c>
      <c r="AA30" s="45">
        <f>AVERAGE(AA$5:AA28)</f>
        <v>0</v>
      </c>
      <c r="AB30" s="45">
        <f>AVERAGE(AB$5:AB28)</f>
        <v>0</v>
      </c>
      <c r="AC30" s="45">
        <f>AVERAGE(AC$5:AC28)</f>
        <v>0</v>
      </c>
      <c r="AD30" s="45">
        <f>AVERAGE(AD$5:AD28)</f>
        <v>0</v>
      </c>
      <c r="AE30" s="45" t="s">
        <v>57</v>
      </c>
      <c r="AF30" s="45" t="s">
        <v>57</v>
      </c>
      <c r="AG30" s="45">
        <f>AVERAGE(AG$5:AG28)</f>
        <v>0.33333333333333331</v>
      </c>
      <c r="AH30" s="45">
        <f>AVERAGE(AH$5:AH28)</f>
        <v>7.4444444444444446</v>
      </c>
      <c r="AI30" s="45">
        <f>AVERAGE(AI$5:AI28)</f>
        <v>0</v>
      </c>
      <c r="AJ30" s="45">
        <f>AVERAGE(AJ$5:AJ28)</f>
        <v>0</v>
      </c>
      <c r="AK30" s="45">
        <f>AVERAGE(AK$5:AK28)</f>
        <v>1.125</v>
      </c>
      <c r="AL30" s="45">
        <f>AVERAGE(AL$5:AL28)</f>
        <v>10.75</v>
      </c>
      <c r="AM30" s="45">
        <f>AVERAGE(AM$5:AM28)</f>
        <v>0</v>
      </c>
      <c r="AN30" s="45">
        <f>AVERAGE(AN$5:AN28)</f>
        <v>0</v>
      </c>
      <c r="AO30" s="45" t="s">
        <v>57</v>
      </c>
      <c r="AP30" s="45" t="s">
        <v>57</v>
      </c>
      <c r="AQ30" s="45">
        <f>AVERAGE(AQ$5:AQ28)</f>
        <v>0.375</v>
      </c>
      <c r="AR30" s="46">
        <f>AVERAGE(AR$5:AR28)</f>
        <v>8.375</v>
      </c>
      <c r="AS30" s="72"/>
      <c r="AT30" s="18"/>
      <c r="AU30" s="18"/>
      <c r="AV30" s="47" t="s">
        <v>60</v>
      </c>
      <c r="AW30" s="45" t="s">
        <v>61</v>
      </c>
      <c r="AX30" s="45" t="s">
        <v>62</v>
      </c>
      <c r="AY30" s="46" t="s">
        <v>41</v>
      </c>
      <c r="AZ30" s="18"/>
      <c r="BA30" s="18"/>
      <c r="BB30" s="18"/>
      <c r="BC30" s="76">
        <f t="shared" ref="BC30:BN30" si="9">SUM(BC5:BC28)</f>
        <v>33000</v>
      </c>
      <c r="BD30" s="76">
        <f t="shared" si="9"/>
        <v>66</v>
      </c>
      <c r="BE30" s="76">
        <f t="shared" si="9"/>
        <v>0</v>
      </c>
      <c r="BF30" s="76">
        <f t="shared" si="9"/>
        <v>0</v>
      </c>
      <c r="BG30" s="76">
        <f t="shared" si="9"/>
        <v>0</v>
      </c>
      <c r="BH30" s="76">
        <f t="shared" si="9"/>
        <v>0</v>
      </c>
      <c r="BI30" s="76">
        <f t="shared" si="9"/>
        <v>66000</v>
      </c>
      <c r="BJ30" s="76">
        <f t="shared" si="9"/>
        <v>66</v>
      </c>
      <c r="BK30" s="76">
        <f t="shared" si="9"/>
        <v>0</v>
      </c>
      <c r="BL30" s="76">
        <f t="shared" si="9"/>
        <v>4224</v>
      </c>
      <c r="BM30" s="76">
        <f t="shared" si="9"/>
        <v>44</v>
      </c>
      <c r="BN30" s="76">
        <f t="shared" si="9"/>
        <v>0</v>
      </c>
    </row>
    <row r="31" spans="1:66" ht="8.25" customHeight="1">
      <c r="A31" s="74"/>
      <c r="B31" s="74"/>
      <c r="C31" s="74"/>
      <c r="D31" s="74"/>
      <c r="E31" s="74"/>
      <c r="F31" s="18"/>
      <c r="G31" s="18"/>
      <c r="H31" s="18"/>
      <c r="I31" s="74"/>
      <c r="J31" s="75"/>
      <c r="K31" s="74"/>
      <c r="L31" s="337"/>
      <c r="M31" s="332"/>
      <c r="N31" s="332"/>
      <c r="O31" s="74"/>
      <c r="P31" s="74"/>
      <c r="Q31" s="74"/>
      <c r="R31" s="74"/>
      <c r="S31" s="74"/>
      <c r="T31" s="74"/>
      <c r="U31" s="18"/>
      <c r="V31" s="74"/>
      <c r="W31" s="18"/>
      <c r="X31" s="48" t="s">
        <v>63</v>
      </c>
      <c r="Y31" s="2">
        <f>MIN(Y$5:Y28)</f>
        <v>0</v>
      </c>
      <c r="Z31" s="2">
        <f>MIN(Z$5:Z28)</f>
        <v>0</v>
      </c>
      <c r="AA31" s="2">
        <f>MIN(AA$5:AA28)</f>
        <v>0</v>
      </c>
      <c r="AB31" s="2">
        <f>MIN(AB$5:AB28)</f>
        <v>0</v>
      </c>
      <c r="AC31" s="2">
        <f>MIN(AC$5:AC28)</f>
        <v>0</v>
      </c>
      <c r="AD31" s="2">
        <f>MIN(AD$5:AD28)</f>
        <v>0</v>
      </c>
      <c r="AE31" s="2" t="s">
        <v>57</v>
      </c>
      <c r="AF31" s="2" t="s">
        <v>57</v>
      </c>
      <c r="AG31" s="2">
        <f>MIN(AG$5:AG28)</f>
        <v>0</v>
      </c>
      <c r="AH31" s="2">
        <f>MIN(AH$5:AH28)</f>
        <v>0</v>
      </c>
      <c r="AI31" s="2">
        <f>MIN(AI$5:AI28)</f>
        <v>0</v>
      </c>
      <c r="AJ31" s="2">
        <f>MIN(AJ$5:AJ28)</f>
        <v>0</v>
      </c>
      <c r="AK31" s="2">
        <f>MIN(AK$5:AK28)</f>
        <v>0</v>
      </c>
      <c r="AL31" s="2">
        <f>MIN(AL$5:AL28)</f>
        <v>0</v>
      </c>
      <c r="AM31" s="2">
        <f>MIN(AM$5:AM28)</f>
        <v>0</v>
      </c>
      <c r="AN31" s="2">
        <f>MIN(AN$5:AN28)</f>
        <v>0</v>
      </c>
      <c r="AO31" s="2" t="s">
        <v>57</v>
      </c>
      <c r="AP31" s="2" t="s">
        <v>57</v>
      </c>
      <c r="AQ31" s="2">
        <f>MIN(AQ$5:AQ28)</f>
        <v>0</v>
      </c>
      <c r="AR31" s="29">
        <f>MIN(AR$5:AR28)</f>
        <v>0</v>
      </c>
      <c r="AS31" s="72"/>
      <c r="AT31" s="18"/>
      <c r="AU31" s="18"/>
      <c r="AV31" s="48" t="s">
        <v>64</v>
      </c>
      <c r="AW31" s="2" t="s">
        <v>65</v>
      </c>
      <c r="AX31" s="2">
        <f>SUM(AT5:AT28)</f>
        <v>198</v>
      </c>
      <c r="AY31" s="29">
        <f>SUM(AS5:AS28)</f>
        <v>0</v>
      </c>
      <c r="AZ31" s="18"/>
      <c r="BA31" s="18"/>
      <c r="BB31" s="18"/>
      <c r="BC31" s="77" t="s">
        <v>45</v>
      </c>
      <c r="BD31" s="77" t="s">
        <v>46</v>
      </c>
      <c r="BE31" s="77" t="s">
        <v>47</v>
      </c>
      <c r="BF31" s="77" t="s">
        <v>48</v>
      </c>
      <c r="BG31" s="77" t="s">
        <v>49</v>
      </c>
      <c r="BH31" s="77" t="s">
        <v>50</v>
      </c>
      <c r="BI31" s="77" t="s">
        <v>51</v>
      </c>
      <c r="BJ31" s="77" t="s">
        <v>52</v>
      </c>
      <c r="BK31" s="77" t="s">
        <v>53</v>
      </c>
      <c r="BL31" s="77" t="s">
        <v>54</v>
      </c>
      <c r="BM31" s="77" t="s">
        <v>55</v>
      </c>
      <c r="BN31" s="77" t="s">
        <v>56</v>
      </c>
    </row>
    <row r="32" spans="1:66" ht="8.25" customHeight="1">
      <c r="A32" s="74"/>
      <c r="B32" s="74"/>
      <c r="C32" s="74"/>
      <c r="D32" s="74"/>
      <c r="E32" s="74"/>
      <c r="F32" s="18"/>
      <c r="G32" s="18"/>
      <c r="H32" s="18"/>
      <c r="I32" s="74"/>
      <c r="J32" s="75"/>
      <c r="K32" s="74"/>
      <c r="L32" s="337"/>
      <c r="M32" s="332"/>
      <c r="N32" s="332"/>
      <c r="O32" s="74"/>
      <c r="P32" s="74"/>
      <c r="Q32" s="74"/>
      <c r="R32" s="74"/>
      <c r="S32" s="74"/>
      <c r="T32" s="74"/>
      <c r="U32" s="18"/>
      <c r="V32" s="74"/>
      <c r="W32" s="18"/>
      <c r="X32" s="48" t="s">
        <v>146</v>
      </c>
      <c r="Y32" s="2">
        <f>MAX(Y$5:Y28)</f>
        <v>0</v>
      </c>
      <c r="Z32" s="2">
        <f>MAX(Z$5:Z28)</f>
        <v>0</v>
      </c>
      <c r="AA32" s="2">
        <f>MAX(AA$5:AA28)</f>
        <v>0</v>
      </c>
      <c r="AB32" s="2">
        <f>MAX(AB$5:AB28)</f>
        <v>0</v>
      </c>
      <c r="AC32" s="2">
        <f>MAX(AC$5:AC28)</f>
        <v>0</v>
      </c>
      <c r="AD32" s="2">
        <f>MAX(AD$5:AD28)</f>
        <v>0</v>
      </c>
      <c r="AE32" s="2" t="s">
        <v>57</v>
      </c>
      <c r="AF32" s="2" t="s">
        <v>57</v>
      </c>
      <c r="AG32" s="2">
        <f>MAX(AG$5:AG28)</f>
        <v>3</v>
      </c>
      <c r="AH32" s="2">
        <f>MAX(AH$5:AH28)</f>
        <v>67</v>
      </c>
      <c r="AI32" s="2">
        <f>MAX(AI$5:AI28)</f>
        <v>0</v>
      </c>
      <c r="AJ32" s="2">
        <f>MAX(AJ$5:AJ28)</f>
        <v>0</v>
      </c>
      <c r="AK32" s="2">
        <f>MAX(AK$5:AK28)</f>
        <v>9</v>
      </c>
      <c r="AL32" s="2">
        <f>MAX(AL$5:AL28)</f>
        <v>86</v>
      </c>
      <c r="AM32" s="2">
        <f>MAX(AM$5:AM28)</f>
        <v>0</v>
      </c>
      <c r="AN32" s="2">
        <f>MAX(AN$5:AN28)</f>
        <v>0</v>
      </c>
      <c r="AO32" s="2" t="s">
        <v>57</v>
      </c>
      <c r="AP32" s="2" t="s">
        <v>57</v>
      </c>
      <c r="AQ32" s="2">
        <f>MAX(AQ$5:AQ28)</f>
        <v>3</v>
      </c>
      <c r="AR32" s="29">
        <f>MAX(AR$5:AR28)</f>
        <v>67</v>
      </c>
      <c r="AS32" s="72"/>
      <c r="AT32" s="18"/>
      <c r="AU32" s="18"/>
      <c r="AV32" s="48" t="s">
        <v>46</v>
      </c>
      <c r="AW32" s="2">
        <f>BC30</f>
        <v>33000</v>
      </c>
      <c r="AX32" s="2">
        <f>BD30</f>
        <v>66</v>
      </c>
      <c r="AY32" s="29">
        <f>BE30</f>
        <v>0</v>
      </c>
      <c r="AZ32" s="18"/>
      <c r="BA32" s="18"/>
      <c r="BB32" s="18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</row>
    <row r="33" spans="1:66" ht="8.25" customHeight="1">
      <c r="A33" s="74"/>
      <c r="B33" s="74"/>
      <c r="C33" s="74"/>
      <c r="D33" s="74"/>
      <c r="E33" s="74"/>
      <c r="F33" s="18"/>
      <c r="G33" s="18"/>
      <c r="H33" s="18"/>
      <c r="I33" s="74"/>
      <c r="J33" s="75"/>
      <c r="K33" s="74"/>
      <c r="L33" s="18"/>
      <c r="M33" s="18"/>
      <c r="N33" s="18"/>
      <c r="O33" s="74"/>
      <c r="P33" s="74"/>
      <c r="Q33" s="74"/>
      <c r="R33" s="74"/>
      <c r="S33" s="74"/>
      <c r="T33" s="74"/>
      <c r="U33" s="18"/>
      <c r="V33" s="74"/>
      <c r="W33" s="18"/>
      <c r="X33" s="48" t="s">
        <v>66</v>
      </c>
      <c r="Y33" s="2">
        <f>STDEV(Y$5:Y28)</f>
        <v>0</v>
      </c>
      <c r="Z33" s="2">
        <f>STDEV(Z$5:Z28)</f>
        <v>0</v>
      </c>
      <c r="AA33" s="2">
        <f>STDEV(AA$5:AA28)</f>
        <v>0</v>
      </c>
      <c r="AB33" s="2">
        <f>STDEV(AB$5:AB28)</f>
        <v>0</v>
      </c>
      <c r="AC33" s="2">
        <f>STDEV(AC$5:AC28)</f>
        <v>0</v>
      </c>
      <c r="AD33" s="2">
        <f>STDEV(AD$5:AD28)</f>
        <v>0</v>
      </c>
      <c r="AE33" s="2" t="s">
        <v>57</v>
      </c>
      <c r="AF33" s="2" t="s">
        <v>57</v>
      </c>
      <c r="AG33" s="2">
        <f>STDEV(AG$5:AG28)</f>
        <v>1</v>
      </c>
      <c r="AH33" s="2">
        <f>STDEV(AH$5:AH28)</f>
        <v>22.333333333333332</v>
      </c>
      <c r="AI33" s="2">
        <f>STDEV(AI$5:AI28)</f>
        <v>0</v>
      </c>
      <c r="AJ33" s="2">
        <f>STDEV(AJ$5:AJ28)</f>
        <v>0</v>
      </c>
      <c r="AK33" s="2">
        <f>STDEV(AK$5:AK28)</f>
        <v>3.1819805153394638</v>
      </c>
      <c r="AL33" s="2">
        <f>STDEV(AL$5:AL28)</f>
        <v>30.405591591021544</v>
      </c>
      <c r="AM33" s="2">
        <f>STDEV(AM$5:AM28)</f>
        <v>0</v>
      </c>
      <c r="AN33" s="2">
        <f>STDEV(AN$5:AN28)</f>
        <v>0</v>
      </c>
      <c r="AO33" s="2" t="s">
        <v>57</v>
      </c>
      <c r="AP33" s="2" t="s">
        <v>57</v>
      </c>
      <c r="AQ33" s="2">
        <f>STDEV(AQ$5:AQ28)</f>
        <v>1.0606601717798212</v>
      </c>
      <c r="AR33" s="29">
        <f>STDEV(AR$5:AR28)</f>
        <v>23.688077169749342</v>
      </c>
      <c r="AS33" s="72"/>
      <c r="AT33" s="18"/>
      <c r="AU33" s="18"/>
      <c r="AV33" s="48" t="s">
        <v>49</v>
      </c>
      <c r="AW33" s="2">
        <f>BF30</f>
        <v>0</v>
      </c>
      <c r="AX33" s="2">
        <f>BG30</f>
        <v>0</v>
      </c>
      <c r="AY33" s="29">
        <f>BH30</f>
        <v>0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 spans="1:66" ht="9" customHeight="1" thickBot="1">
      <c r="A34" s="74"/>
      <c r="B34" s="74"/>
      <c r="C34" s="74"/>
      <c r="D34" s="74"/>
      <c r="E34" s="74"/>
      <c r="F34" s="18"/>
      <c r="G34" s="18"/>
      <c r="H34" s="18"/>
      <c r="I34" s="74"/>
      <c r="J34" s="75"/>
      <c r="K34" s="74"/>
      <c r="L34" s="18"/>
      <c r="M34" s="18"/>
      <c r="N34" s="18"/>
      <c r="O34" s="74"/>
      <c r="P34" s="74"/>
      <c r="Q34" s="74"/>
      <c r="R34" s="74"/>
      <c r="S34" s="74"/>
      <c r="T34" s="74"/>
      <c r="U34" s="18"/>
      <c r="V34" s="74"/>
      <c r="W34" s="18"/>
      <c r="X34" s="50" t="s">
        <v>67</v>
      </c>
      <c r="Y34" s="32">
        <f t="shared" ref="Y34:AD34" si="10">IF(Y30+(3*Y33)&gt;100,100,Y30+(3*Y33))</f>
        <v>0</v>
      </c>
      <c r="Z34" s="32">
        <f t="shared" si="10"/>
        <v>0</v>
      </c>
      <c r="AA34" s="32">
        <f t="shared" si="10"/>
        <v>0</v>
      </c>
      <c r="AB34" s="32">
        <f t="shared" si="10"/>
        <v>0</v>
      </c>
      <c r="AC34" s="32">
        <f t="shared" si="10"/>
        <v>0</v>
      </c>
      <c r="AD34" s="32">
        <f t="shared" si="10"/>
        <v>0</v>
      </c>
      <c r="AE34" s="32" t="s">
        <v>57</v>
      </c>
      <c r="AF34" s="32" t="s">
        <v>57</v>
      </c>
      <c r="AG34" s="32">
        <f t="shared" ref="AG34:AN34" si="11">IF(AG30+(3*AG33)&gt;100,100,AG30+(3*AG33))</f>
        <v>3.3333333333333335</v>
      </c>
      <c r="AH34" s="32">
        <f t="shared" si="11"/>
        <v>74.444444444444443</v>
      </c>
      <c r="AI34" s="32">
        <f t="shared" si="11"/>
        <v>0</v>
      </c>
      <c r="AJ34" s="32">
        <f t="shared" si="11"/>
        <v>0</v>
      </c>
      <c r="AK34" s="32">
        <f t="shared" si="11"/>
        <v>10.670941546018391</v>
      </c>
      <c r="AL34" s="32">
        <f t="shared" si="11"/>
        <v>100</v>
      </c>
      <c r="AM34" s="32">
        <f t="shared" si="11"/>
        <v>0</v>
      </c>
      <c r="AN34" s="32">
        <f t="shared" si="11"/>
        <v>0</v>
      </c>
      <c r="AO34" s="32" t="s">
        <v>57</v>
      </c>
      <c r="AP34" s="32" t="s">
        <v>57</v>
      </c>
      <c r="AQ34" s="32">
        <f>IF(AQ30+(3*AQ33)&gt;100,100,AQ30+(3*AQ33))</f>
        <v>3.5569805153394638</v>
      </c>
      <c r="AR34" s="49">
        <f>IF(AR30+(3*AR33)&gt;100,100,AR30+(3*AR33))</f>
        <v>79.439231509248032</v>
      </c>
      <c r="AS34" s="72"/>
      <c r="AT34" s="18"/>
      <c r="AU34" s="18"/>
      <c r="AV34" s="48" t="s">
        <v>52</v>
      </c>
      <c r="AW34" s="2">
        <f>BI30</f>
        <v>66000</v>
      </c>
      <c r="AX34" s="2">
        <f>BJ30</f>
        <v>66</v>
      </c>
      <c r="AY34" s="29">
        <f>BK30</f>
        <v>0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 spans="1:66" ht="9" customHeight="1" thickBot="1">
      <c r="A35" s="74"/>
      <c r="B35" s="74"/>
      <c r="C35" s="74"/>
      <c r="D35" s="74"/>
      <c r="E35" s="74"/>
      <c r="F35" s="18"/>
      <c r="G35" s="18"/>
      <c r="H35" s="18"/>
      <c r="I35" s="74"/>
      <c r="J35" s="75"/>
      <c r="K35" s="74"/>
      <c r="L35" s="18"/>
      <c r="M35" s="18"/>
      <c r="N35" s="18"/>
      <c r="O35" s="74"/>
      <c r="P35" s="74"/>
      <c r="Q35" s="74"/>
      <c r="R35" s="74"/>
      <c r="S35" s="74"/>
      <c r="T35" s="74"/>
      <c r="U35" s="18"/>
      <c r="V35" s="74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72"/>
      <c r="AO35" s="18"/>
      <c r="AP35" s="18"/>
      <c r="AQ35" s="18"/>
      <c r="AR35" s="18"/>
      <c r="AS35" s="18"/>
      <c r="AT35" s="18"/>
      <c r="AU35" s="18"/>
      <c r="AV35" s="50" t="s">
        <v>58</v>
      </c>
      <c r="AW35" s="32">
        <f>BL30</f>
        <v>4224</v>
      </c>
      <c r="AX35" s="32">
        <f>BM30</f>
        <v>44</v>
      </c>
      <c r="AY35" s="49">
        <f>BN30</f>
        <v>0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 t="str">
        <f>IF(AND($AV35="HAST",NOT(ISBLANK($AZ35))),$BA35*$AX35,"")</f>
        <v/>
      </c>
      <c r="BM35" s="18" t="str">
        <f>IF(AND($AV35="HAST",NOT(ISBLANK($AZ35))),$BA35,"")</f>
        <v/>
      </c>
      <c r="BN35" s="18" t="str">
        <f>IF(AND($AV35="HAST",NOT(ISBLANK($AZ35))),$AZ35,"")</f>
        <v/>
      </c>
    </row>
    <row r="36" spans="1:66" ht="8.25" customHeight="1">
      <c r="X36" s="18" t="s">
        <v>69</v>
      </c>
      <c r="Y36" s="73"/>
      <c r="Z36" s="73"/>
    </row>
    <row r="37" spans="1:66" ht="8.25" customHeight="1">
      <c r="X37" s="18"/>
      <c r="Y37" s="73" t="s">
        <v>70</v>
      </c>
      <c r="Z37" s="73"/>
    </row>
    <row r="38" spans="1:66" ht="8.25" customHeight="1">
      <c r="X38" s="18"/>
      <c r="Y38" s="73" t="s">
        <v>71</v>
      </c>
      <c r="Z38" s="73"/>
    </row>
    <row r="39" spans="1:66" ht="8.25" customHeight="1">
      <c r="X39" s="18"/>
      <c r="Y39" s="73" t="s">
        <v>72</v>
      </c>
      <c r="Z39" s="73"/>
    </row>
    <row r="40" spans="1:66" ht="8.25" customHeight="1">
      <c r="X40" s="18"/>
      <c r="Y40" s="73" t="s">
        <v>73</v>
      </c>
      <c r="Z40" s="73"/>
    </row>
    <row r="41" spans="1:66" ht="8.25" customHeight="1">
      <c r="X41" s="18"/>
      <c r="Y41" s="73" t="s">
        <v>74</v>
      </c>
      <c r="Z41" s="73"/>
    </row>
  </sheetData>
  <mergeCells count="43">
    <mergeCell ref="AT3:AT4"/>
    <mergeCell ref="AU3:AU4"/>
    <mergeCell ref="F3:H3"/>
    <mergeCell ref="I3:K3"/>
    <mergeCell ref="A1:C2"/>
    <mergeCell ref="D1:E2"/>
    <mergeCell ref="F1:V2"/>
    <mergeCell ref="A3:A4"/>
    <mergeCell ref="B3:B4"/>
    <mergeCell ref="C3:C4"/>
    <mergeCell ref="D3:D4"/>
    <mergeCell ref="E3:E4"/>
    <mergeCell ref="AV1:BA2"/>
    <mergeCell ref="Y1:AH2"/>
    <mergeCell ref="W1:W4"/>
    <mergeCell ref="X1:X4"/>
    <mergeCell ref="AV3:AV4"/>
    <mergeCell ref="BA3:BA4"/>
    <mergeCell ref="AI1:AR2"/>
    <mergeCell ref="AS1:AU2"/>
    <mergeCell ref="AC3:AD3"/>
    <mergeCell ref="AE3:AF3"/>
    <mergeCell ref="AG3:AH3"/>
    <mergeCell ref="AI3:AJ3"/>
    <mergeCell ref="AK3:AL3"/>
    <mergeCell ref="AM3:AN3"/>
    <mergeCell ref="AO3:AP3"/>
    <mergeCell ref="AQ3:AR3"/>
    <mergeCell ref="L32:N32"/>
    <mergeCell ref="AA3:AB3"/>
    <mergeCell ref="L3:N3"/>
    <mergeCell ref="O3:O4"/>
    <mergeCell ref="P3:P4"/>
    <mergeCell ref="R3:R4"/>
    <mergeCell ref="L4:N4"/>
    <mergeCell ref="S3:S4"/>
    <mergeCell ref="T3:T4"/>
    <mergeCell ref="U3:U4"/>
    <mergeCell ref="V3:V4"/>
    <mergeCell ref="Y3:Z3"/>
    <mergeCell ref="L29:N29"/>
    <mergeCell ref="L30:N30"/>
    <mergeCell ref="L31:N31"/>
  </mergeCells>
  <conditionalFormatting sqref="AZ5:AZ27">
    <cfRule type="cellIs" dxfId="88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60"/>
  <sheetViews>
    <sheetView showGridLines="0" zoomScale="140" zoomScaleNormal="140" workbookViewId="0">
      <pane xSplit="5" ySplit="4" topLeftCell="X5" activePane="bottomRight" state="frozen"/>
      <selection activeCell="AP22" sqref="AP22"/>
      <selection pane="topRight" activeCell="AP22" sqref="AP22"/>
      <selection pane="bottomLeft" activeCell="AP22" sqref="AP22"/>
      <selection pane="bottomRight" activeCell="AY19" sqref="AY19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style="30" customWidth="1"/>
    <col min="16" max="16" width="8.54296875" customWidth="1"/>
    <col min="17" max="17" width="4.453125" customWidth="1"/>
    <col min="18" max="18" width="3.1796875" customWidth="1"/>
    <col min="19" max="19" width="7" customWidth="1"/>
    <col min="20" max="20" width="10" bestFit="1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322" t="s">
        <v>0</v>
      </c>
      <c r="B1" s="413"/>
      <c r="C1" s="414"/>
      <c r="D1" s="324" t="s">
        <v>1</v>
      </c>
      <c r="E1" s="417"/>
      <c r="F1" s="396" t="s">
        <v>2</v>
      </c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328" t="s">
        <v>3</v>
      </c>
      <c r="X1" s="331" t="s">
        <v>4</v>
      </c>
      <c r="Y1" s="334" t="s">
        <v>5</v>
      </c>
      <c r="Z1" s="413"/>
      <c r="AA1" s="413"/>
      <c r="AB1" s="413"/>
      <c r="AC1" s="413"/>
      <c r="AD1" s="413"/>
      <c r="AE1" s="413"/>
      <c r="AF1" s="413"/>
      <c r="AG1" s="413"/>
      <c r="AH1" s="417"/>
      <c r="AI1" s="331" t="s">
        <v>6</v>
      </c>
      <c r="AJ1" s="413"/>
      <c r="AK1" s="413"/>
      <c r="AL1" s="413"/>
      <c r="AM1" s="413"/>
      <c r="AN1" s="413"/>
      <c r="AO1" s="413"/>
      <c r="AP1" s="413"/>
      <c r="AQ1" s="413"/>
      <c r="AR1" s="414"/>
      <c r="AS1" s="302" t="s">
        <v>7</v>
      </c>
      <c r="AT1" s="413"/>
      <c r="AU1" s="417"/>
      <c r="AV1" s="306" t="s">
        <v>8</v>
      </c>
      <c r="AW1" s="413"/>
      <c r="AX1" s="413"/>
      <c r="AY1" s="413"/>
      <c r="AZ1" s="413"/>
      <c r="BA1" s="420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</row>
    <row r="2" spans="1:66" ht="10.5" customHeight="1">
      <c r="A2" s="425"/>
      <c r="B2" s="415"/>
      <c r="C2" s="416"/>
      <c r="D2" s="418"/>
      <c r="E2" s="419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26"/>
      <c r="X2" s="404"/>
      <c r="Y2" s="418"/>
      <c r="Z2" s="415"/>
      <c r="AA2" s="415"/>
      <c r="AB2" s="415"/>
      <c r="AC2" s="415"/>
      <c r="AD2" s="415"/>
      <c r="AE2" s="415"/>
      <c r="AF2" s="415"/>
      <c r="AG2" s="415"/>
      <c r="AH2" s="419"/>
      <c r="AI2" s="415"/>
      <c r="AJ2" s="415"/>
      <c r="AK2" s="415"/>
      <c r="AL2" s="415"/>
      <c r="AM2" s="415"/>
      <c r="AN2" s="415"/>
      <c r="AO2" s="415"/>
      <c r="AP2" s="415"/>
      <c r="AQ2" s="415"/>
      <c r="AR2" s="416"/>
      <c r="AS2" s="418"/>
      <c r="AT2" s="415"/>
      <c r="AU2" s="419"/>
      <c r="AV2" s="415"/>
      <c r="AW2" s="415"/>
      <c r="AX2" s="415"/>
      <c r="AY2" s="415"/>
      <c r="AZ2" s="415"/>
      <c r="BA2" s="421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</row>
    <row r="3" spans="1:66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58" t="s">
        <v>12</v>
      </c>
      <c r="F3" s="394" t="s">
        <v>13</v>
      </c>
      <c r="G3" s="424"/>
      <c r="H3" s="408"/>
      <c r="I3" s="321" t="s">
        <v>14</v>
      </c>
      <c r="J3" s="424"/>
      <c r="K3" s="408"/>
      <c r="L3" s="321" t="s">
        <v>15</v>
      </c>
      <c r="M3" s="424"/>
      <c r="N3" s="408"/>
      <c r="O3" s="389" t="s">
        <v>16</v>
      </c>
      <c r="P3" s="311" t="s">
        <v>17</v>
      </c>
      <c r="Q3" s="107" t="s">
        <v>18</v>
      </c>
      <c r="R3" s="389" t="s">
        <v>19</v>
      </c>
      <c r="S3" s="389" t="s">
        <v>20</v>
      </c>
      <c r="T3" s="389" t="s">
        <v>21</v>
      </c>
      <c r="U3" s="311" t="s">
        <v>22</v>
      </c>
      <c r="V3" s="317" t="s">
        <v>23</v>
      </c>
      <c r="W3" s="426"/>
      <c r="X3" s="404"/>
      <c r="Y3" s="339" t="s">
        <v>24</v>
      </c>
      <c r="Z3" s="408"/>
      <c r="AA3" s="338" t="s">
        <v>25</v>
      </c>
      <c r="AB3" s="408"/>
      <c r="AC3" s="338" t="s">
        <v>26</v>
      </c>
      <c r="AD3" s="408"/>
      <c r="AE3" s="338" t="s">
        <v>27</v>
      </c>
      <c r="AF3" s="408"/>
      <c r="AG3" s="338" t="s">
        <v>28</v>
      </c>
      <c r="AH3" s="409"/>
      <c r="AI3" s="398" t="s">
        <v>24</v>
      </c>
      <c r="AJ3" s="408"/>
      <c r="AK3" s="338" t="s">
        <v>25</v>
      </c>
      <c r="AL3" s="408"/>
      <c r="AM3" s="338" t="s">
        <v>26</v>
      </c>
      <c r="AN3" s="408"/>
      <c r="AO3" s="338" t="s">
        <v>27</v>
      </c>
      <c r="AP3" s="408"/>
      <c r="AQ3" s="338" t="s">
        <v>28</v>
      </c>
      <c r="AR3" s="408"/>
      <c r="AS3" s="19" t="s">
        <v>29</v>
      </c>
      <c r="AT3" s="349" t="s">
        <v>30</v>
      </c>
      <c r="AU3" s="350" t="s">
        <v>31</v>
      </c>
      <c r="AV3" s="345" t="s">
        <v>32</v>
      </c>
      <c r="AW3" s="20" t="s">
        <v>33</v>
      </c>
      <c r="AX3" s="20" t="s">
        <v>34</v>
      </c>
      <c r="AY3" s="20" t="s">
        <v>35</v>
      </c>
      <c r="AZ3" s="20" t="s">
        <v>29</v>
      </c>
      <c r="BA3" s="347" t="s">
        <v>30</v>
      </c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</row>
    <row r="4" spans="1:66" ht="10.5" customHeight="1">
      <c r="A4" s="422"/>
      <c r="B4" s="410"/>
      <c r="C4" s="388"/>
      <c r="D4" s="423"/>
      <c r="E4" s="411"/>
      <c r="F4" s="98" t="s">
        <v>36</v>
      </c>
      <c r="G4" s="21" t="s">
        <v>37</v>
      </c>
      <c r="H4" s="22" t="s">
        <v>36</v>
      </c>
      <c r="I4" s="22" t="s">
        <v>36</v>
      </c>
      <c r="J4" s="21" t="s">
        <v>37</v>
      </c>
      <c r="K4" s="22" t="s">
        <v>36</v>
      </c>
      <c r="L4" s="390" t="s">
        <v>38</v>
      </c>
      <c r="M4" s="405"/>
      <c r="N4" s="406"/>
      <c r="O4" s="375"/>
      <c r="P4" s="410"/>
      <c r="Q4" s="23" t="s">
        <v>68</v>
      </c>
      <c r="R4" s="410"/>
      <c r="S4" s="410"/>
      <c r="T4" s="410"/>
      <c r="U4" s="410"/>
      <c r="V4" s="388"/>
      <c r="W4" s="427"/>
      <c r="X4" s="428"/>
      <c r="Y4" s="24" t="s">
        <v>29</v>
      </c>
      <c r="Z4" s="25" t="s">
        <v>40</v>
      </c>
      <c r="AA4" s="21" t="s">
        <v>29</v>
      </c>
      <c r="AB4" s="25" t="s">
        <v>40</v>
      </c>
      <c r="AC4" s="2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99" t="s">
        <v>40</v>
      </c>
      <c r="AI4" s="100" t="s">
        <v>29</v>
      </c>
      <c r="AJ4" s="25" t="s">
        <v>40</v>
      </c>
      <c r="AK4" s="21" t="s">
        <v>29</v>
      </c>
      <c r="AL4" s="25" t="s">
        <v>40</v>
      </c>
      <c r="AM4" s="21" t="s">
        <v>29</v>
      </c>
      <c r="AN4" s="25" t="s">
        <v>40</v>
      </c>
      <c r="AO4" s="21" t="s">
        <v>29</v>
      </c>
      <c r="AP4" s="25" t="s">
        <v>40</v>
      </c>
      <c r="AQ4" s="21" t="s">
        <v>29</v>
      </c>
      <c r="AR4" s="26" t="s">
        <v>40</v>
      </c>
      <c r="AS4" s="27" t="s">
        <v>41</v>
      </c>
      <c r="AT4" s="410"/>
      <c r="AU4" s="411"/>
      <c r="AV4" s="412"/>
      <c r="AW4" s="28" t="s">
        <v>42</v>
      </c>
      <c r="AX4" s="28" t="s">
        <v>43</v>
      </c>
      <c r="AY4" s="28" t="s">
        <v>44</v>
      </c>
      <c r="AZ4" s="28" t="s">
        <v>41</v>
      </c>
      <c r="BA4" s="407"/>
      <c r="BB4" s="147"/>
      <c r="BC4" s="148" t="s">
        <v>45</v>
      </c>
      <c r="BD4" s="148" t="s">
        <v>46</v>
      </c>
      <c r="BE4" s="148" t="s">
        <v>47</v>
      </c>
      <c r="BF4" s="148" t="s">
        <v>48</v>
      </c>
      <c r="BG4" s="148" t="s">
        <v>49</v>
      </c>
      <c r="BH4" s="148" t="s">
        <v>50</v>
      </c>
      <c r="BI4" s="148" t="s">
        <v>51</v>
      </c>
      <c r="BJ4" s="148" t="s">
        <v>52</v>
      </c>
      <c r="BK4" s="148" t="s">
        <v>53</v>
      </c>
      <c r="BL4" s="148" t="s">
        <v>54</v>
      </c>
      <c r="BM4" s="148" t="s">
        <v>55</v>
      </c>
      <c r="BN4" s="148" t="s">
        <v>56</v>
      </c>
    </row>
    <row r="5" spans="1:66" ht="8.25" customHeight="1">
      <c r="A5" s="1" t="s">
        <v>115</v>
      </c>
      <c r="B5" s="2">
        <v>16</v>
      </c>
      <c r="C5" s="258" t="s">
        <v>163</v>
      </c>
      <c r="D5" s="11">
        <v>2508</v>
      </c>
      <c r="E5" s="4" t="s">
        <v>85</v>
      </c>
      <c r="F5" s="102">
        <v>29</v>
      </c>
      <c r="G5" s="2" t="s">
        <v>147</v>
      </c>
      <c r="H5" s="12">
        <v>29</v>
      </c>
      <c r="I5" s="12">
        <v>75</v>
      </c>
      <c r="J5" s="2" t="s">
        <v>147</v>
      </c>
      <c r="K5" s="12">
        <v>75</v>
      </c>
      <c r="L5" s="251"/>
      <c r="M5" s="259" t="s">
        <v>116</v>
      </c>
      <c r="N5" s="260"/>
      <c r="O5" s="2" t="s">
        <v>117</v>
      </c>
      <c r="P5" s="95" t="s">
        <v>164</v>
      </c>
      <c r="Q5" s="94">
        <v>0.8</v>
      </c>
      <c r="R5" s="2" t="s">
        <v>89</v>
      </c>
      <c r="S5" s="2" t="s">
        <v>123</v>
      </c>
      <c r="T5" s="2" t="s">
        <v>124</v>
      </c>
      <c r="U5" s="12" t="s">
        <v>89</v>
      </c>
      <c r="V5" s="13" t="s">
        <v>119</v>
      </c>
      <c r="W5" s="9" t="s">
        <v>91</v>
      </c>
      <c r="X5" s="4" t="s">
        <v>92</v>
      </c>
      <c r="Y5" s="11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 t="s">
        <v>57</v>
      </c>
      <c r="AF5" s="12" t="s">
        <v>57</v>
      </c>
      <c r="AG5" s="12">
        <v>0</v>
      </c>
      <c r="AH5" s="103">
        <v>0</v>
      </c>
      <c r="AI5" s="102">
        <v>0</v>
      </c>
      <c r="AJ5" s="12">
        <v>0</v>
      </c>
      <c r="AK5" s="12">
        <v>0</v>
      </c>
      <c r="AL5" s="12">
        <v>0</v>
      </c>
      <c r="AM5" s="12">
        <v>0</v>
      </c>
      <c r="AN5" s="2">
        <v>0</v>
      </c>
      <c r="AO5" s="12" t="s">
        <v>57</v>
      </c>
      <c r="AP5" s="12" t="s">
        <v>57</v>
      </c>
      <c r="AQ5" s="12">
        <v>0</v>
      </c>
      <c r="AR5" s="13">
        <v>0</v>
      </c>
      <c r="AS5" s="11">
        <v>0</v>
      </c>
      <c r="AT5" s="12">
        <v>22</v>
      </c>
      <c r="AU5" s="4" t="s">
        <v>93</v>
      </c>
      <c r="AV5" s="102" t="s">
        <v>94</v>
      </c>
      <c r="AW5" s="16" t="s">
        <v>120</v>
      </c>
      <c r="AX5" s="2">
        <v>500</v>
      </c>
      <c r="AY5" s="2" t="s">
        <v>96</v>
      </c>
      <c r="AZ5" s="2">
        <v>0</v>
      </c>
      <c r="BA5" s="29">
        <v>22</v>
      </c>
      <c r="BB5" s="18"/>
      <c r="BC5" s="18">
        <f t="shared" ref="BC5:BC19" si="0">IF(AND($AV5="TC",NOT(ISBLANK($AZ5))),$BA5*$AX5,"")</f>
        <v>11000</v>
      </c>
      <c r="BD5" s="18">
        <f t="shared" ref="BD5:BD19" si="1">IF(AND($AV5="TC",NOT(ISBLANK($AZ5))),$BA5,"")</f>
        <v>22</v>
      </c>
      <c r="BE5" s="18">
        <f t="shared" ref="BE5:BE19" si="2">IF(AND($AV5="TC",NOT(ISBLANK($AZ5))),$AZ5,"")</f>
        <v>0</v>
      </c>
      <c r="BF5" s="18"/>
      <c r="BG5" s="18"/>
      <c r="BH5" s="18"/>
      <c r="BI5" s="18" t="str">
        <f t="shared" ref="BI5:BI19" si="3">IF(AND($AV5="HTS",NOT(ISBLANK($AZ5))),$BA5*$AX5,"")</f>
        <v/>
      </c>
      <c r="BJ5" s="18" t="str">
        <f t="shared" ref="BJ5:BJ19" si="4">IF(AND($AV5="HTS",NOT(ISBLANK($AZ5))),$BA5,"")</f>
        <v/>
      </c>
      <c r="BK5" s="18" t="str">
        <f t="shared" ref="BK5:BK19" si="5">IF(AND($AV5="HTS",NOT(ISBLANK($AZ5))),$AZ5,"")</f>
        <v/>
      </c>
      <c r="BL5" s="18" t="str">
        <f t="shared" ref="BL5:BL19" si="6">IF(AND($AV5="HAST",NOT(ISBLANK($AZ5))),$BA5*$AX5,"")</f>
        <v/>
      </c>
      <c r="BM5" s="18" t="str">
        <f t="shared" ref="BM5:BM19" si="7">IF(AND($AV5="HAST",NOT(ISBLANK($AZ5))),$BA5,"")</f>
        <v/>
      </c>
      <c r="BN5" s="18" t="str">
        <f t="shared" ref="BN5:BN19" si="8">IF(AND($AV5="HAST",NOT(ISBLANK($AZ5))),$AZ5,"")</f>
        <v/>
      </c>
    </row>
    <row r="6" spans="1:66" ht="8.25" customHeight="1">
      <c r="A6" s="1" t="s">
        <v>115</v>
      </c>
      <c r="B6" s="2">
        <v>16</v>
      </c>
      <c r="C6" s="258" t="s">
        <v>163</v>
      </c>
      <c r="D6" s="11">
        <v>2521</v>
      </c>
      <c r="E6" s="4" t="s">
        <v>85</v>
      </c>
      <c r="F6" s="102">
        <v>29</v>
      </c>
      <c r="G6" s="2" t="s">
        <v>147</v>
      </c>
      <c r="H6" s="12">
        <v>29</v>
      </c>
      <c r="I6" s="12">
        <v>75</v>
      </c>
      <c r="J6" s="2" t="s">
        <v>147</v>
      </c>
      <c r="K6" s="12">
        <v>75</v>
      </c>
      <c r="L6" s="251"/>
      <c r="M6" s="259" t="s">
        <v>116</v>
      </c>
      <c r="N6" s="260"/>
      <c r="O6" s="2" t="s">
        <v>117</v>
      </c>
      <c r="P6" s="95" t="s">
        <v>164</v>
      </c>
      <c r="Q6" s="94">
        <v>0.8</v>
      </c>
      <c r="R6" s="2" t="s">
        <v>89</v>
      </c>
      <c r="S6" s="2" t="s">
        <v>123</v>
      </c>
      <c r="T6" s="2" t="s">
        <v>124</v>
      </c>
      <c r="U6" s="12" t="s">
        <v>89</v>
      </c>
      <c r="V6" s="13" t="s">
        <v>119</v>
      </c>
      <c r="W6" s="9" t="s">
        <v>91</v>
      </c>
      <c r="X6" s="4" t="s">
        <v>92</v>
      </c>
      <c r="Y6" s="11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57</v>
      </c>
      <c r="AF6" s="12" t="s">
        <v>57</v>
      </c>
      <c r="AG6" s="12">
        <v>0</v>
      </c>
      <c r="AH6" s="103">
        <v>0</v>
      </c>
      <c r="AI6" s="102">
        <v>0</v>
      </c>
      <c r="AJ6" s="12">
        <v>0</v>
      </c>
      <c r="AK6" s="12">
        <v>0</v>
      </c>
      <c r="AL6" s="12">
        <v>0</v>
      </c>
      <c r="AM6" s="12">
        <v>0</v>
      </c>
      <c r="AN6" s="2">
        <v>0</v>
      </c>
      <c r="AO6" s="12" t="s">
        <v>57</v>
      </c>
      <c r="AP6" s="12" t="s">
        <v>57</v>
      </c>
      <c r="AQ6" s="12">
        <v>0</v>
      </c>
      <c r="AR6" s="13">
        <v>0</v>
      </c>
      <c r="AS6" s="11">
        <v>0</v>
      </c>
      <c r="AT6" s="12">
        <v>22</v>
      </c>
      <c r="AU6" s="4" t="s">
        <v>93</v>
      </c>
      <c r="AV6" s="102" t="s">
        <v>94</v>
      </c>
      <c r="AW6" s="16" t="s">
        <v>120</v>
      </c>
      <c r="AX6" s="2">
        <v>500</v>
      </c>
      <c r="AY6" s="2" t="s">
        <v>96</v>
      </c>
      <c r="AZ6" s="2">
        <v>0</v>
      </c>
      <c r="BA6" s="29">
        <v>22</v>
      </c>
      <c r="BB6" s="18"/>
      <c r="BC6" s="18">
        <f t="shared" si="0"/>
        <v>11000</v>
      </c>
      <c r="BD6" s="18">
        <f t="shared" si="1"/>
        <v>22</v>
      </c>
      <c r="BE6" s="18">
        <f t="shared" si="2"/>
        <v>0</v>
      </c>
      <c r="BF6" s="18"/>
      <c r="BG6" s="18"/>
      <c r="BH6" s="18"/>
      <c r="BI6" s="18" t="str">
        <f t="shared" si="3"/>
        <v/>
      </c>
      <c r="BJ6" s="18" t="str">
        <f t="shared" si="4"/>
        <v/>
      </c>
      <c r="BK6" s="18" t="str">
        <f t="shared" si="5"/>
        <v/>
      </c>
      <c r="BL6" s="18" t="str">
        <f t="shared" si="6"/>
        <v/>
      </c>
      <c r="BM6" s="18" t="str">
        <f t="shared" si="7"/>
        <v/>
      </c>
      <c r="BN6" s="18" t="str">
        <f t="shared" si="8"/>
        <v/>
      </c>
    </row>
    <row r="7" spans="1:66" ht="8.25" customHeight="1">
      <c r="A7" s="1" t="s">
        <v>115</v>
      </c>
      <c r="B7" s="2">
        <v>16</v>
      </c>
      <c r="C7" s="258" t="s">
        <v>163</v>
      </c>
      <c r="D7" s="11">
        <v>2525</v>
      </c>
      <c r="E7" s="4" t="s">
        <v>85</v>
      </c>
      <c r="F7" s="102">
        <v>29</v>
      </c>
      <c r="G7" s="2" t="s">
        <v>147</v>
      </c>
      <c r="H7" s="12">
        <v>29</v>
      </c>
      <c r="I7" s="12">
        <v>75</v>
      </c>
      <c r="J7" s="2" t="s">
        <v>147</v>
      </c>
      <c r="K7" s="12">
        <v>75</v>
      </c>
      <c r="L7" s="251"/>
      <c r="M7" s="259" t="s">
        <v>116</v>
      </c>
      <c r="N7" s="260"/>
      <c r="O7" s="2" t="s">
        <v>117</v>
      </c>
      <c r="P7" s="95" t="s">
        <v>164</v>
      </c>
      <c r="Q7" s="94">
        <v>0.8</v>
      </c>
      <c r="R7" s="2" t="s">
        <v>89</v>
      </c>
      <c r="S7" s="2" t="s">
        <v>123</v>
      </c>
      <c r="T7" s="2" t="s">
        <v>124</v>
      </c>
      <c r="U7" s="12" t="s">
        <v>89</v>
      </c>
      <c r="V7" s="13" t="s">
        <v>119</v>
      </c>
      <c r="W7" s="9" t="s">
        <v>91</v>
      </c>
      <c r="X7" s="4" t="s">
        <v>92</v>
      </c>
      <c r="Y7" s="11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57</v>
      </c>
      <c r="AF7" s="12" t="s">
        <v>57</v>
      </c>
      <c r="AG7" s="12">
        <v>0</v>
      </c>
      <c r="AH7" s="103">
        <v>0</v>
      </c>
      <c r="AI7" s="115">
        <v>0</v>
      </c>
      <c r="AJ7" s="116">
        <v>0</v>
      </c>
      <c r="AK7" s="116">
        <v>0</v>
      </c>
      <c r="AL7" s="117">
        <v>0</v>
      </c>
      <c r="AM7" s="116">
        <v>0</v>
      </c>
      <c r="AN7" s="116">
        <v>0</v>
      </c>
      <c r="AO7" s="116" t="s">
        <v>57</v>
      </c>
      <c r="AP7" s="116" t="s">
        <v>57</v>
      </c>
      <c r="AQ7" s="116">
        <v>0</v>
      </c>
      <c r="AR7" s="118">
        <v>0</v>
      </c>
      <c r="AS7" s="119">
        <v>0</v>
      </c>
      <c r="AT7" s="116">
        <v>22</v>
      </c>
      <c r="AU7" s="114" t="s">
        <v>93</v>
      </c>
      <c r="AV7" s="115" t="s">
        <v>58</v>
      </c>
      <c r="AW7" s="202" t="s">
        <v>226</v>
      </c>
      <c r="AX7" s="117">
        <v>96</v>
      </c>
      <c r="AY7" s="117" t="s">
        <v>100</v>
      </c>
      <c r="AZ7" s="117">
        <v>0</v>
      </c>
      <c r="BA7" s="206">
        <v>22</v>
      </c>
      <c r="BB7" s="18"/>
      <c r="BC7" s="18" t="str">
        <f t="shared" si="0"/>
        <v/>
      </c>
      <c r="BD7" s="18" t="str">
        <f t="shared" si="1"/>
        <v/>
      </c>
      <c r="BE7" s="18" t="str">
        <f t="shared" si="2"/>
        <v/>
      </c>
      <c r="BF7" s="18"/>
      <c r="BG7" s="18"/>
      <c r="BH7" s="18"/>
      <c r="BI7" s="18" t="str">
        <f t="shared" si="3"/>
        <v/>
      </c>
      <c r="BJ7" s="18" t="str">
        <f t="shared" si="4"/>
        <v/>
      </c>
      <c r="BK7" s="18" t="str">
        <f t="shared" si="5"/>
        <v/>
      </c>
      <c r="BL7" s="18">
        <f t="shared" si="6"/>
        <v>2112</v>
      </c>
      <c r="BM7" s="18">
        <f t="shared" si="7"/>
        <v>22</v>
      </c>
      <c r="BN7" s="18">
        <f t="shared" si="8"/>
        <v>0</v>
      </c>
    </row>
    <row r="8" spans="1:66" ht="8.25" customHeight="1">
      <c r="A8" s="1"/>
      <c r="B8" s="2"/>
      <c r="C8" s="258"/>
      <c r="D8" s="11"/>
      <c r="E8" s="4"/>
      <c r="F8" s="102"/>
      <c r="G8" s="2"/>
      <c r="H8" s="12"/>
      <c r="I8" s="12"/>
      <c r="J8" s="2"/>
      <c r="K8" s="12"/>
      <c r="L8" s="251"/>
      <c r="M8" s="259"/>
      <c r="N8" s="260"/>
      <c r="O8" s="2"/>
      <c r="P8" s="95"/>
      <c r="Q8" s="94"/>
      <c r="R8" s="2"/>
      <c r="S8" s="2"/>
      <c r="T8" s="2"/>
      <c r="U8" s="12"/>
      <c r="V8" s="13"/>
      <c r="W8" s="9"/>
      <c r="X8" s="4"/>
      <c r="Y8" s="11"/>
      <c r="Z8" s="12"/>
      <c r="AA8" s="12"/>
      <c r="AB8" s="12"/>
      <c r="AC8" s="12"/>
      <c r="AD8" s="12"/>
      <c r="AE8" s="12"/>
      <c r="AF8" s="12"/>
      <c r="AG8" s="12"/>
      <c r="AH8" s="103"/>
      <c r="AI8" s="11"/>
      <c r="AJ8" s="12"/>
      <c r="AK8" s="12"/>
      <c r="AL8" s="12"/>
      <c r="AM8" s="12"/>
      <c r="AN8" s="12"/>
      <c r="AO8" s="12"/>
      <c r="AP8" s="12"/>
      <c r="AQ8" s="12"/>
      <c r="AR8" s="103"/>
      <c r="AS8" s="11"/>
      <c r="AT8" s="12"/>
      <c r="AU8" s="4"/>
      <c r="AV8" s="102"/>
      <c r="AW8" s="16"/>
      <c r="AX8" s="2"/>
      <c r="AY8" s="2"/>
      <c r="AZ8" s="2"/>
      <c r="BA8" s="29"/>
      <c r="BB8" s="18"/>
      <c r="BC8" s="18" t="str">
        <f t="shared" si="0"/>
        <v/>
      </c>
      <c r="BD8" s="18" t="str">
        <f t="shared" si="1"/>
        <v/>
      </c>
      <c r="BE8" s="18" t="str">
        <f t="shared" si="2"/>
        <v/>
      </c>
      <c r="BF8" s="18"/>
      <c r="BG8" s="18"/>
      <c r="BH8" s="18"/>
      <c r="BI8" s="18" t="str">
        <f t="shared" si="3"/>
        <v/>
      </c>
      <c r="BJ8" s="18" t="str">
        <f t="shared" si="4"/>
        <v/>
      </c>
      <c r="BK8" s="18" t="str">
        <f t="shared" si="5"/>
        <v/>
      </c>
      <c r="BL8" s="18" t="str">
        <f t="shared" si="6"/>
        <v/>
      </c>
      <c r="BM8" s="18" t="str">
        <f t="shared" si="7"/>
        <v/>
      </c>
      <c r="BN8" s="18" t="str">
        <f t="shared" si="8"/>
        <v/>
      </c>
    </row>
    <row r="9" spans="1:66" ht="8.25" customHeight="1">
      <c r="A9" s="1" t="s">
        <v>115</v>
      </c>
      <c r="B9" s="2">
        <v>20</v>
      </c>
      <c r="C9" s="258" t="s">
        <v>207</v>
      </c>
      <c r="D9" s="11">
        <v>2530</v>
      </c>
      <c r="E9" s="4" t="s">
        <v>85</v>
      </c>
      <c r="F9" s="102">
        <v>41</v>
      </c>
      <c r="G9" s="2" t="s">
        <v>147</v>
      </c>
      <c r="H9" s="12">
        <v>26</v>
      </c>
      <c r="I9" s="12">
        <v>55</v>
      </c>
      <c r="J9" s="2" t="s">
        <v>147</v>
      </c>
      <c r="K9" s="12">
        <v>130</v>
      </c>
      <c r="L9" s="251"/>
      <c r="M9" s="259" t="s">
        <v>116</v>
      </c>
      <c r="N9" s="260"/>
      <c r="O9" s="2" t="s">
        <v>117</v>
      </c>
      <c r="P9" s="95" t="s">
        <v>194</v>
      </c>
      <c r="Q9" s="94">
        <v>0.8</v>
      </c>
      <c r="R9" s="2" t="s">
        <v>89</v>
      </c>
      <c r="S9" s="2" t="s">
        <v>123</v>
      </c>
      <c r="T9" s="2" t="s">
        <v>124</v>
      </c>
      <c r="U9" s="12" t="s">
        <v>89</v>
      </c>
      <c r="V9" s="13" t="s">
        <v>119</v>
      </c>
      <c r="W9" s="9" t="s">
        <v>91</v>
      </c>
      <c r="X9" s="4" t="s">
        <v>92</v>
      </c>
      <c r="Y9" s="119">
        <v>0</v>
      </c>
      <c r="Z9" s="116">
        <v>0</v>
      </c>
      <c r="AA9" s="116">
        <v>0</v>
      </c>
      <c r="AB9" s="116">
        <v>0</v>
      </c>
      <c r="AC9" s="116">
        <v>0</v>
      </c>
      <c r="AD9" s="116">
        <v>0</v>
      </c>
      <c r="AE9" s="116" t="s">
        <v>57</v>
      </c>
      <c r="AF9" s="116" t="s">
        <v>57</v>
      </c>
      <c r="AG9" s="116">
        <v>0</v>
      </c>
      <c r="AH9" s="121">
        <v>0</v>
      </c>
      <c r="AI9" s="115">
        <v>0</v>
      </c>
      <c r="AJ9" s="116">
        <v>0</v>
      </c>
      <c r="AK9" s="116">
        <v>0</v>
      </c>
      <c r="AL9" s="117">
        <v>0</v>
      </c>
      <c r="AM9" s="116">
        <v>0</v>
      </c>
      <c r="AN9" s="116">
        <v>0</v>
      </c>
      <c r="AO9" s="116" t="s">
        <v>57</v>
      </c>
      <c r="AP9" s="116" t="s">
        <v>57</v>
      </c>
      <c r="AQ9" s="116">
        <v>0</v>
      </c>
      <c r="AR9" s="118">
        <v>0</v>
      </c>
      <c r="AS9" s="119">
        <v>0</v>
      </c>
      <c r="AT9" s="116">
        <v>22</v>
      </c>
      <c r="AU9" s="114" t="s">
        <v>93</v>
      </c>
      <c r="AV9" s="115" t="s">
        <v>52</v>
      </c>
      <c r="AW9" s="202" t="s">
        <v>99</v>
      </c>
      <c r="AX9" s="117">
        <v>1000</v>
      </c>
      <c r="AY9" s="117" t="s">
        <v>100</v>
      </c>
      <c r="AZ9" s="117">
        <v>0</v>
      </c>
      <c r="BA9" s="206">
        <v>22</v>
      </c>
      <c r="BB9" s="18"/>
      <c r="BC9" s="18" t="str">
        <f t="shared" si="0"/>
        <v/>
      </c>
      <c r="BD9" s="18" t="str">
        <f t="shared" si="1"/>
        <v/>
      </c>
      <c r="BE9" s="18" t="str">
        <f t="shared" si="2"/>
        <v/>
      </c>
      <c r="BF9" s="18"/>
      <c r="BG9" s="18"/>
      <c r="BH9" s="18"/>
      <c r="BI9" s="18">
        <f t="shared" si="3"/>
        <v>22000</v>
      </c>
      <c r="BJ9" s="18">
        <f t="shared" si="4"/>
        <v>22</v>
      </c>
      <c r="BK9" s="18">
        <f t="shared" si="5"/>
        <v>0</v>
      </c>
      <c r="BL9" s="18" t="str">
        <f t="shared" si="6"/>
        <v/>
      </c>
      <c r="BM9" s="18" t="str">
        <f t="shared" si="7"/>
        <v/>
      </c>
      <c r="BN9" s="18" t="str">
        <f t="shared" si="8"/>
        <v/>
      </c>
    </row>
    <row r="10" spans="1:66" ht="8.25" customHeight="1">
      <c r="A10" s="1" t="s">
        <v>115</v>
      </c>
      <c r="B10" s="2">
        <v>20</v>
      </c>
      <c r="C10" s="258" t="s">
        <v>207</v>
      </c>
      <c r="D10" s="11">
        <v>2534</v>
      </c>
      <c r="E10" s="4" t="s">
        <v>85</v>
      </c>
      <c r="F10" s="102">
        <v>26</v>
      </c>
      <c r="G10" s="2" t="s">
        <v>147</v>
      </c>
      <c r="H10" s="12">
        <v>41</v>
      </c>
      <c r="I10" s="12">
        <v>55</v>
      </c>
      <c r="J10" s="2" t="s">
        <v>147</v>
      </c>
      <c r="K10" s="12">
        <v>130</v>
      </c>
      <c r="L10" s="251"/>
      <c r="M10" s="259" t="s">
        <v>116</v>
      </c>
      <c r="N10" s="260"/>
      <c r="O10" s="2" t="s">
        <v>117</v>
      </c>
      <c r="P10" s="95" t="s">
        <v>194</v>
      </c>
      <c r="Q10" s="94">
        <v>0.8</v>
      </c>
      <c r="R10" s="2" t="s">
        <v>89</v>
      </c>
      <c r="S10" s="2" t="s">
        <v>123</v>
      </c>
      <c r="T10" s="2" t="s">
        <v>124</v>
      </c>
      <c r="U10" s="12" t="s">
        <v>89</v>
      </c>
      <c r="V10" s="13" t="s">
        <v>119</v>
      </c>
      <c r="W10" s="9" t="s">
        <v>91</v>
      </c>
      <c r="X10" s="4" t="s">
        <v>92</v>
      </c>
      <c r="Y10" s="119">
        <v>0</v>
      </c>
      <c r="Z10" s="116">
        <v>0</v>
      </c>
      <c r="AA10" s="116">
        <v>0</v>
      </c>
      <c r="AB10" s="116">
        <v>0</v>
      </c>
      <c r="AC10" s="116">
        <v>0</v>
      </c>
      <c r="AD10" s="116">
        <v>0</v>
      </c>
      <c r="AE10" s="116" t="s">
        <v>57</v>
      </c>
      <c r="AF10" s="116" t="s">
        <v>57</v>
      </c>
      <c r="AG10" s="116">
        <v>0</v>
      </c>
      <c r="AH10" s="121">
        <v>0</v>
      </c>
      <c r="AI10" s="115">
        <v>0</v>
      </c>
      <c r="AJ10" s="116">
        <v>0</v>
      </c>
      <c r="AK10" s="116">
        <v>0</v>
      </c>
      <c r="AL10" s="117">
        <v>0</v>
      </c>
      <c r="AM10" s="116">
        <v>0</v>
      </c>
      <c r="AN10" s="116">
        <v>0</v>
      </c>
      <c r="AO10" s="116" t="s">
        <v>57</v>
      </c>
      <c r="AP10" s="116" t="s">
        <v>57</v>
      </c>
      <c r="AQ10" s="116">
        <v>0</v>
      </c>
      <c r="AR10" s="118">
        <v>0</v>
      </c>
      <c r="AS10" s="119">
        <v>0</v>
      </c>
      <c r="AT10" s="116">
        <v>22</v>
      </c>
      <c r="AU10" s="114" t="s">
        <v>93</v>
      </c>
      <c r="AV10" s="115" t="s">
        <v>94</v>
      </c>
      <c r="AW10" s="202" t="s">
        <v>120</v>
      </c>
      <c r="AX10" s="117">
        <v>500</v>
      </c>
      <c r="AY10" s="117" t="s">
        <v>96</v>
      </c>
      <c r="AZ10" s="117">
        <v>0</v>
      </c>
      <c r="BA10" s="206">
        <v>22</v>
      </c>
      <c r="BB10" s="18"/>
      <c r="BC10" s="18">
        <f t="shared" si="0"/>
        <v>11000</v>
      </c>
      <c r="BD10" s="18">
        <f t="shared" si="1"/>
        <v>22</v>
      </c>
      <c r="BE10" s="18">
        <f t="shared" si="2"/>
        <v>0</v>
      </c>
      <c r="BF10" s="18"/>
      <c r="BG10" s="18"/>
      <c r="BH10" s="18"/>
      <c r="BI10" s="18" t="str">
        <f t="shared" si="3"/>
        <v/>
      </c>
      <c r="BJ10" s="18" t="str">
        <f t="shared" si="4"/>
        <v/>
      </c>
      <c r="BK10" s="18" t="str">
        <f t="shared" si="5"/>
        <v/>
      </c>
      <c r="BL10" s="18" t="str">
        <f t="shared" si="6"/>
        <v/>
      </c>
      <c r="BM10" s="18" t="str">
        <f t="shared" si="7"/>
        <v/>
      </c>
      <c r="BN10" s="18" t="str">
        <f t="shared" si="8"/>
        <v/>
      </c>
    </row>
    <row r="11" spans="1:66" ht="8.25" customHeight="1">
      <c r="A11" s="1" t="s">
        <v>115</v>
      </c>
      <c r="B11" s="2">
        <v>20</v>
      </c>
      <c r="C11" s="258" t="s">
        <v>207</v>
      </c>
      <c r="D11" s="11">
        <v>2539</v>
      </c>
      <c r="E11" s="4" t="s">
        <v>85</v>
      </c>
      <c r="F11" s="102">
        <v>26</v>
      </c>
      <c r="G11" s="2" t="s">
        <v>147</v>
      </c>
      <c r="H11" s="12">
        <v>41</v>
      </c>
      <c r="I11" s="12">
        <v>55</v>
      </c>
      <c r="J11" s="2" t="s">
        <v>147</v>
      </c>
      <c r="K11" s="12">
        <v>130</v>
      </c>
      <c r="L11" s="251"/>
      <c r="M11" s="259" t="s">
        <v>116</v>
      </c>
      <c r="N11" s="260"/>
      <c r="O11" s="2" t="s">
        <v>117</v>
      </c>
      <c r="P11" s="95" t="s">
        <v>194</v>
      </c>
      <c r="Q11" s="94">
        <v>0.8</v>
      </c>
      <c r="R11" s="2" t="s">
        <v>89</v>
      </c>
      <c r="S11" s="2" t="s">
        <v>123</v>
      </c>
      <c r="T11" s="2" t="s">
        <v>124</v>
      </c>
      <c r="U11" s="12" t="s">
        <v>89</v>
      </c>
      <c r="V11" s="13" t="s">
        <v>119</v>
      </c>
      <c r="W11" s="9" t="s">
        <v>91</v>
      </c>
      <c r="X11" s="4" t="s">
        <v>92</v>
      </c>
      <c r="Y11" s="119">
        <v>0</v>
      </c>
      <c r="Z11" s="116">
        <v>0</v>
      </c>
      <c r="AA11" s="116">
        <v>0</v>
      </c>
      <c r="AB11" s="116">
        <v>0</v>
      </c>
      <c r="AC11" s="116">
        <v>0</v>
      </c>
      <c r="AD11" s="116">
        <v>0</v>
      </c>
      <c r="AE11" s="116" t="s">
        <v>57</v>
      </c>
      <c r="AF11" s="116" t="s">
        <v>57</v>
      </c>
      <c r="AG11" s="116">
        <v>0</v>
      </c>
      <c r="AH11" s="121">
        <v>0</v>
      </c>
      <c r="AI11" s="115">
        <v>0</v>
      </c>
      <c r="AJ11" s="116">
        <v>0</v>
      </c>
      <c r="AK11" s="116">
        <v>0</v>
      </c>
      <c r="AL11" s="117">
        <v>0</v>
      </c>
      <c r="AM11" s="116">
        <v>0</v>
      </c>
      <c r="AN11" s="116">
        <v>0</v>
      </c>
      <c r="AO11" s="116" t="s">
        <v>57</v>
      </c>
      <c r="AP11" s="116" t="s">
        <v>57</v>
      </c>
      <c r="AQ11" s="116">
        <v>0</v>
      </c>
      <c r="AR11" s="118">
        <v>0</v>
      </c>
      <c r="AS11" s="119">
        <v>0</v>
      </c>
      <c r="AT11" s="116">
        <v>22</v>
      </c>
      <c r="AU11" s="114" t="s">
        <v>93</v>
      </c>
      <c r="AV11" s="115" t="s">
        <v>58</v>
      </c>
      <c r="AW11" s="202" t="s">
        <v>226</v>
      </c>
      <c r="AX11" s="117">
        <v>96</v>
      </c>
      <c r="AY11" s="117" t="s">
        <v>100</v>
      </c>
      <c r="AZ11" s="117">
        <v>0</v>
      </c>
      <c r="BA11" s="206">
        <v>22</v>
      </c>
      <c r="BB11" s="18"/>
      <c r="BC11" s="18" t="str">
        <f t="shared" si="0"/>
        <v/>
      </c>
      <c r="BD11" s="18" t="str">
        <f t="shared" si="1"/>
        <v/>
      </c>
      <c r="BE11" s="18" t="str">
        <f t="shared" si="2"/>
        <v/>
      </c>
      <c r="BF11" s="18"/>
      <c r="BG11" s="18"/>
      <c r="BH11" s="18"/>
      <c r="BI11" s="18" t="str">
        <f t="shared" si="3"/>
        <v/>
      </c>
      <c r="BJ11" s="18" t="str">
        <f t="shared" si="4"/>
        <v/>
      </c>
      <c r="BK11" s="18" t="str">
        <f t="shared" si="5"/>
        <v/>
      </c>
      <c r="BL11" s="18">
        <f t="shared" si="6"/>
        <v>2112</v>
      </c>
      <c r="BM11" s="18">
        <f t="shared" si="7"/>
        <v>22</v>
      </c>
      <c r="BN11" s="18">
        <f t="shared" si="8"/>
        <v>0</v>
      </c>
    </row>
    <row r="12" spans="1:66" ht="8.25" customHeight="1">
      <c r="A12" s="1"/>
      <c r="B12" s="2"/>
      <c r="C12" s="258"/>
      <c r="D12" s="11"/>
      <c r="E12" s="4"/>
      <c r="F12" s="102"/>
      <c r="G12" s="2"/>
      <c r="H12" s="12"/>
      <c r="I12" s="12"/>
      <c r="J12" s="2"/>
      <c r="K12" s="12"/>
      <c r="L12" s="251"/>
      <c r="M12" s="259"/>
      <c r="N12" s="260"/>
      <c r="O12" s="2"/>
      <c r="P12" s="95"/>
      <c r="Q12" s="94"/>
      <c r="R12" s="2"/>
      <c r="S12" s="2"/>
      <c r="T12" s="2"/>
      <c r="U12" s="12"/>
      <c r="V12" s="13"/>
      <c r="W12" s="9"/>
      <c r="X12" s="4"/>
      <c r="Y12" s="11"/>
      <c r="Z12" s="12"/>
      <c r="AA12" s="12"/>
      <c r="AB12" s="12"/>
      <c r="AC12" s="12"/>
      <c r="AD12" s="12"/>
      <c r="AE12" s="12"/>
      <c r="AF12" s="12"/>
      <c r="AG12" s="12"/>
      <c r="AH12" s="103"/>
      <c r="AI12" s="11"/>
      <c r="AJ12" s="12"/>
      <c r="AK12" s="12"/>
      <c r="AL12" s="12"/>
      <c r="AM12" s="12"/>
      <c r="AN12" s="12"/>
      <c r="AO12" s="12"/>
      <c r="AP12" s="12"/>
      <c r="AQ12" s="12"/>
      <c r="AR12" s="103"/>
      <c r="AS12" s="11"/>
      <c r="AT12" s="12"/>
      <c r="AU12" s="4"/>
      <c r="AV12" s="102"/>
      <c r="AW12" s="16"/>
      <c r="AX12" s="2"/>
      <c r="AY12" s="2"/>
      <c r="AZ12" s="2"/>
      <c r="BA12" s="29"/>
      <c r="BB12" s="18"/>
      <c r="BC12" s="18" t="str">
        <f t="shared" si="0"/>
        <v/>
      </c>
      <c r="BD12" s="18" t="str">
        <f t="shared" si="1"/>
        <v/>
      </c>
      <c r="BE12" s="18" t="str">
        <f t="shared" si="2"/>
        <v/>
      </c>
      <c r="BF12" s="18"/>
      <c r="BG12" s="18"/>
      <c r="BH12" s="18"/>
      <c r="BI12" s="18" t="str">
        <f t="shared" si="3"/>
        <v/>
      </c>
      <c r="BJ12" s="18" t="str">
        <f t="shared" si="4"/>
        <v/>
      </c>
      <c r="BK12" s="18" t="str">
        <f t="shared" si="5"/>
        <v/>
      </c>
      <c r="BL12" s="18" t="str">
        <f t="shared" si="6"/>
        <v/>
      </c>
      <c r="BM12" s="18" t="str">
        <f t="shared" si="7"/>
        <v/>
      </c>
      <c r="BN12" s="18" t="str">
        <f t="shared" si="8"/>
        <v/>
      </c>
    </row>
    <row r="13" spans="1:66" ht="8.25" customHeight="1">
      <c r="A13" s="1" t="s">
        <v>160</v>
      </c>
      <c r="B13" s="2">
        <v>16</v>
      </c>
      <c r="C13" s="258" t="s">
        <v>161</v>
      </c>
      <c r="D13" s="11">
        <v>2504</v>
      </c>
      <c r="E13" s="4" t="s">
        <v>85</v>
      </c>
      <c r="F13" s="102">
        <v>46</v>
      </c>
      <c r="G13" s="2" t="s">
        <v>147</v>
      </c>
      <c r="H13" s="12">
        <v>70</v>
      </c>
      <c r="I13" s="12" t="s">
        <v>57</v>
      </c>
      <c r="J13" s="2" t="s">
        <v>37</v>
      </c>
      <c r="K13" s="12" t="s">
        <v>57</v>
      </c>
      <c r="L13" s="251"/>
      <c r="M13" s="259" t="s">
        <v>116</v>
      </c>
      <c r="N13" s="260"/>
      <c r="O13" s="2" t="s">
        <v>117</v>
      </c>
      <c r="P13" s="95" t="s">
        <v>130</v>
      </c>
      <c r="Q13" s="94">
        <v>1</v>
      </c>
      <c r="R13" s="2" t="s">
        <v>89</v>
      </c>
      <c r="S13" s="2" t="s">
        <v>123</v>
      </c>
      <c r="T13" s="2" t="s">
        <v>162</v>
      </c>
      <c r="U13" s="12" t="s">
        <v>89</v>
      </c>
      <c r="V13" s="13" t="s">
        <v>119</v>
      </c>
      <c r="W13" s="9" t="s">
        <v>91</v>
      </c>
      <c r="X13" s="4" t="s">
        <v>92</v>
      </c>
      <c r="Y13" s="11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 t="s">
        <v>57</v>
      </c>
      <c r="AF13" s="12" t="s">
        <v>57</v>
      </c>
      <c r="AG13" s="12">
        <v>0</v>
      </c>
      <c r="AH13" s="103">
        <v>0</v>
      </c>
      <c r="AI13" s="11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 t="s">
        <v>57</v>
      </c>
      <c r="AP13" s="12" t="s">
        <v>57</v>
      </c>
      <c r="AQ13" s="12">
        <v>0</v>
      </c>
      <c r="AR13" s="103">
        <v>0</v>
      </c>
      <c r="AS13" s="11">
        <v>0</v>
      </c>
      <c r="AT13" s="12">
        <v>22</v>
      </c>
      <c r="AU13" s="4" t="s">
        <v>93</v>
      </c>
      <c r="AV13" s="102" t="s">
        <v>52</v>
      </c>
      <c r="AW13" s="16" t="s">
        <v>99</v>
      </c>
      <c r="AX13" s="2">
        <v>1000</v>
      </c>
      <c r="AY13" s="2" t="s">
        <v>100</v>
      </c>
      <c r="AZ13" s="2">
        <v>0</v>
      </c>
      <c r="BA13" s="29">
        <v>22</v>
      </c>
      <c r="BB13" s="18"/>
      <c r="BC13" s="18" t="str">
        <f t="shared" si="0"/>
        <v/>
      </c>
      <c r="BD13" s="18" t="str">
        <f t="shared" si="1"/>
        <v/>
      </c>
      <c r="BE13" s="18" t="str">
        <f t="shared" si="2"/>
        <v/>
      </c>
      <c r="BF13" s="18"/>
      <c r="BG13" s="18"/>
      <c r="BH13" s="18"/>
      <c r="BI13" s="18">
        <f t="shared" si="3"/>
        <v>22000</v>
      </c>
      <c r="BJ13" s="18">
        <f t="shared" si="4"/>
        <v>22</v>
      </c>
      <c r="BK13" s="18">
        <f t="shared" si="5"/>
        <v>0</v>
      </c>
      <c r="BL13" s="18" t="str">
        <f t="shared" si="6"/>
        <v/>
      </c>
      <c r="BM13" s="18" t="str">
        <f t="shared" si="7"/>
        <v/>
      </c>
      <c r="BN13" s="18" t="str">
        <f t="shared" si="8"/>
        <v/>
      </c>
    </row>
    <row r="14" spans="1:66" ht="8.25" customHeight="1">
      <c r="A14" s="1" t="s">
        <v>160</v>
      </c>
      <c r="B14" s="2">
        <v>16</v>
      </c>
      <c r="C14" s="258" t="s">
        <v>161</v>
      </c>
      <c r="D14" s="11">
        <v>2517</v>
      </c>
      <c r="E14" s="4" t="s">
        <v>85</v>
      </c>
      <c r="F14" s="102">
        <v>46</v>
      </c>
      <c r="G14" s="2" t="s">
        <v>147</v>
      </c>
      <c r="H14" s="12">
        <v>70</v>
      </c>
      <c r="I14" s="12" t="s">
        <v>57</v>
      </c>
      <c r="J14" s="2" t="s">
        <v>37</v>
      </c>
      <c r="K14" s="12" t="s">
        <v>57</v>
      </c>
      <c r="L14" s="251"/>
      <c r="M14" s="259" t="s">
        <v>116</v>
      </c>
      <c r="N14" s="260"/>
      <c r="O14" s="2" t="s">
        <v>117</v>
      </c>
      <c r="P14" s="95" t="s">
        <v>194</v>
      </c>
      <c r="Q14" s="94">
        <v>1</v>
      </c>
      <c r="R14" s="2" t="s">
        <v>89</v>
      </c>
      <c r="S14" s="2" t="s">
        <v>123</v>
      </c>
      <c r="T14" s="2" t="s">
        <v>162</v>
      </c>
      <c r="U14" s="12" t="s">
        <v>89</v>
      </c>
      <c r="V14" s="13" t="s">
        <v>119</v>
      </c>
      <c r="W14" s="9" t="s">
        <v>91</v>
      </c>
      <c r="X14" s="4" t="s">
        <v>92</v>
      </c>
      <c r="Y14" s="11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 t="s">
        <v>57</v>
      </c>
      <c r="AF14" s="12" t="s">
        <v>57</v>
      </c>
      <c r="AG14" s="12">
        <v>0</v>
      </c>
      <c r="AH14" s="103">
        <v>0</v>
      </c>
      <c r="AI14" s="102">
        <v>0</v>
      </c>
      <c r="AJ14" s="12">
        <v>0</v>
      </c>
      <c r="AK14" s="12">
        <v>0</v>
      </c>
      <c r="AL14" s="12">
        <v>0</v>
      </c>
      <c r="AM14" s="12">
        <v>0</v>
      </c>
      <c r="AN14" s="2">
        <v>0</v>
      </c>
      <c r="AO14" s="12" t="s">
        <v>57</v>
      </c>
      <c r="AP14" s="12" t="s">
        <v>57</v>
      </c>
      <c r="AQ14" s="12">
        <v>0</v>
      </c>
      <c r="AR14" s="13">
        <v>0</v>
      </c>
      <c r="AS14" s="11">
        <v>0</v>
      </c>
      <c r="AT14" s="12">
        <v>22</v>
      </c>
      <c r="AU14" s="4" t="s">
        <v>93</v>
      </c>
      <c r="AV14" s="102" t="s">
        <v>52</v>
      </c>
      <c r="AW14" s="16" t="s">
        <v>99</v>
      </c>
      <c r="AX14" s="2">
        <v>1000</v>
      </c>
      <c r="AY14" s="2" t="s">
        <v>100</v>
      </c>
      <c r="AZ14" s="2">
        <v>0</v>
      </c>
      <c r="BA14" s="29">
        <v>22</v>
      </c>
      <c r="BB14" s="18"/>
      <c r="BC14" s="18" t="str">
        <f t="shared" si="0"/>
        <v/>
      </c>
      <c r="BD14" s="18" t="str">
        <f t="shared" si="1"/>
        <v/>
      </c>
      <c r="BE14" s="18" t="str">
        <f t="shared" si="2"/>
        <v/>
      </c>
      <c r="BF14" s="18"/>
      <c r="BG14" s="18"/>
      <c r="BH14" s="18"/>
      <c r="BI14" s="18">
        <f t="shared" si="3"/>
        <v>22000</v>
      </c>
      <c r="BJ14" s="18">
        <f t="shared" si="4"/>
        <v>22</v>
      </c>
      <c r="BK14" s="18">
        <f t="shared" si="5"/>
        <v>0</v>
      </c>
      <c r="BL14" s="18" t="str">
        <f t="shared" si="6"/>
        <v/>
      </c>
      <c r="BM14" s="18" t="str">
        <f t="shared" si="7"/>
        <v/>
      </c>
      <c r="BN14" s="18" t="str">
        <f t="shared" si="8"/>
        <v/>
      </c>
    </row>
    <row r="15" spans="1:66" ht="8.25" customHeight="1">
      <c r="A15" s="122" t="s">
        <v>160</v>
      </c>
      <c r="B15" s="117">
        <v>16</v>
      </c>
      <c r="C15" s="183" t="s">
        <v>161</v>
      </c>
      <c r="D15" s="119">
        <v>2543</v>
      </c>
      <c r="E15" s="114" t="s">
        <v>85</v>
      </c>
      <c r="F15" s="115">
        <v>46</v>
      </c>
      <c r="G15" s="117" t="s">
        <v>147</v>
      </c>
      <c r="H15" s="116">
        <v>70</v>
      </c>
      <c r="I15" s="116" t="s">
        <v>57</v>
      </c>
      <c r="J15" s="117" t="s">
        <v>37</v>
      </c>
      <c r="K15" s="116" t="s">
        <v>57</v>
      </c>
      <c r="L15" s="134"/>
      <c r="M15" s="184" t="s">
        <v>116</v>
      </c>
      <c r="N15" s="185"/>
      <c r="O15" s="117" t="s">
        <v>174</v>
      </c>
      <c r="P15" s="132" t="s">
        <v>194</v>
      </c>
      <c r="Q15" s="137">
        <v>1</v>
      </c>
      <c r="R15" s="117" t="s">
        <v>89</v>
      </c>
      <c r="S15" s="117" t="s">
        <v>123</v>
      </c>
      <c r="T15" s="117" t="s">
        <v>162</v>
      </c>
      <c r="U15" s="116" t="s">
        <v>89</v>
      </c>
      <c r="V15" s="118" t="s">
        <v>119</v>
      </c>
      <c r="W15" s="123" t="s">
        <v>91</v>
      </c>
      <c r="X15" s="114" t="s">
        <v>92</v>
      </c>
      <c r="Y15" s="119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 t="s">
        <v>57</v>
      </c>
      <c r="AF15" s="116" t="s">
        <v>57</v>
      </c>
      <c r="AG15" s="116">
        <v>0</v>
      </c>
      <c r="AH15" s="121">
        <v>0</v>
      </c>
      <c r="AI15" s="115">
        <v>0</v>
      </c>
      <c r="AJ15" s="116">
        <v>0</v>
      </c>
      <c r="AK15" s="116">
        <v>0</v>
      </c>
      <c r="AL15" s="117">
        <v>0</v>
      </c>
      <c r="AM15" s="116">
        <v>0</v>
      </c>
      <c r="AN15" s="116">
        <v>0</v>
      </c>
      <c r="AO15" s="116" t="s">
        <v>57</v>
      </c>
      <c r="AP15" s="116" t="s">
        <v>57</v>
      </c>
      <c r="AQ15" s="116">
        <v>0</v>
      </c>
      <c r="AR15" s="118">
        <v>0</v>
      </c>
      <c r="AS15" s="119">
        <v>0</v>
      </c>
      <c r="AT15" s="116">
        <v>22</v>
      </c>
      <c r="AU15" s="114" t="s">
        <v>93</v>
      </c>
      <c r="AV15" s="115" t="s">
        <v>52</v>
      </c>
      <c r="AW15" s="202" t="s">
        <v>155</v>
      </c>
      <c r="AX15" s="117"/>
      <c r="AY15" s="117"/>
      <c r="AZ15" s="117"/>
      <c r="BA15" s="206"/>
      <c r="BB15" s="18"/>
      <c r="BC15" s="18" t="str">
        <f t="shared" si="0"/>
        <v/>
      </c>
      <c r="BD15" s="18" t="str">
        <f t="shared" si="1"/>
        <v/>
      </c>
      <c r="BE15" s="18" t="str">
        <f t="shared" si="2"/>
        <v/>
      </c>
      <c r="BF15" s="18"/>
      <c r="BG15" s="18"/>
      <c r="BH15" s="18"/>
      <c r="BI15" s="18" t="str">
        <f t="shared" si="3"/>
        <v/>
      </c>
      <c r="BJ15" s="18" t="str">
        <f t="shared" si="4"/>
        <v/>
      </c>
      <c r="BK15" s="18" t="str">
        <f t="shared" si="5"/>
        <v/>
      </c>
      <c r="BL15" s="18" t="str">
        <f t="shared" si="6"/>
        <v/>
      </c>
      <c r="BM15" s="18" t="str">
        <f t="shared" si="7"/>
        <v/>
      </c>
      <c r="BN15" s="18" t="str">
        <f t="shared" si="8"/>
        <v/>
      </c>
    </row>
    <row r="16" spans="1:66" ht="8.25" customHeight="1">
      <c r="A16" s="122" t="s">
        <v>160</v>
      </c>
      <c r="B16" s="117">
        <v>16</v>
      </c>
      <c r="C16" s="183" t="s">
        <v>161</v>
      </c>
      <c r="D16" s="119">
        <v>2547</v>
      </c>
      <c r="E16" s="114" t="s">
        <v>85</v>
      </c>
      <c r="F16" s="115">
        <v>46</v>
      </c>
      <c r="G16" s="117" t="s">
        <v>147</v>
      </c>
      <c r="H16" s="116">
        <v>70</v>
      </c>
      <c r="I16" s="116" t="s">
        <v>57</v>
      </c>
      <c r="J16" s="117" t="s">
        <v>37</v>
      </c>
      <c r="K16" s="116" t="s">
        <v>57</v>
      </c>
      <c r="L16" s="134"/>
      <c r="M16" s="184" t="s">
        <v>116</v>
      </c>
      <c r="N16" s="185"/>
      <c r="O16" s="117" t="s">
        <v>174</v>
      </c>
      <c r="P16" s="132" t="s">
        <v>194</v>
      </c>
      <c r="Q16" s="137">
        <v>1</v>
      </c>
      <c r="R16" s="117" t="s">
        <v>89</v>
      </c>
      <c r="S16" s="117" t="s">
        <v>222</v>
      </c>
      <c r="T16" s="117" t="s">
        <v>139</v>
      </c>
      <c r="U16" s="116" t="s">
        <v>89</v>
      </c>
      <c r="V16" s="118" t="s">
        <v>119</v>
      </c>
      <c r="W16" s="123" t="s">
        <v>91</v>
      </c>
      <c r="X16" s="114" t="s">
        <v>92</v>
      </c>
      <c r="Y16" s="119" t="s">
        <v>57</v>
      </c>
      <c r="Z16" s="116" t="s">
        <v>57</v>
      </c>
      <c r="AA16" s="116" t="s">
        <v>57</v>
      </c>
      <c r="AB16" s="116" t="s">
        <v>57</v>
      </c>
      <c r="AC16" s="116" t="s">
        <v>57</v>
      </c>
      <c r="AD16" s="116" t="s">
        <v>57</v>
      </c>
      <c r="AE16" s="116" t="s">
        <v>57</v>
      </c>
      <c r="AF16" s="116" t="s">
        <v>57</v>
      </c>
      <c r="AG16" s="116" t="s">
        <v>57</v>
      </c>
      <c r="AH16" s="121" t="s">
        <v>57</v>
      </c>
      <c r="AI16" s="115" t="s">
        <v>57</v>
      </c>
      <c r="AJ16" s="116" t="s">
        <v>57</v>
      </c>
      <c r="AK16" s="116" t="s">
        <v>57</v>
      </c>
      <c r="AL16" s="116" t="s">
        <v>57</v>
      </c>
      <c r="AM16" s="116" t="s">
        <v>57</v>
      </c>
      <c r="AN16" s="117" t="s">
        <v>57</v>
      </c>
      <c r="AO16" s="116" t="s">
        <v>57</v>
      </c>
      <c r="AP16" s="116" t="s">
        <v>57</v>
      </c>
      <c r="AQ16" s="116" t="s">
        <v>57</v>
      </c>
      <c r="AR16" s="118" t="s">
        <v>57</v>
      </c>
      <c r="AS16" s="119" t="s">
        <v>57</v>
      </c>
      <c r="AT16" s="116" t="s">
        <v>57</v>
      </c>
      <c r="AU16" s="114" t="s">
        <v>155</v>
      </c>
      <c r="AV16" s="115"/>
      <c r="AW16" s="202"/>
      <c r="AX16" s="117"/>
      <c r="AY16" s="117"/>
      <c r="AZ16" s="117"/>
      <c r="BA16" s="206"/>
      <c r="BB16" s="18"/>
      <c r="BC16" s="18" t="str">
        <f t="shared" si="0"/>
        <v/>
      </c>
      <c r="BD16" s="18" t="str">
        <f t="shared" si="1"/>
        <v/>
      </c>
      <c r="BE16" s="18" t="str">
        <f t="shared" si="2"/>
        <v/>
      </c>
      <c r="BF16" s="18"/>
      <c r="BG16" s="18"/>
      <c r="BH16" s="18"/>
      <c r="BI16" s="18" t="str">
        <f t="shared" si="3"/>
        <v/>
      </c>
      <c r="BJ16" s="18" t="str">
        <f t="shared" si="4"/>
        <v/>
      </c>
      <c r="BK16" s="18" t="str">
        <f t="shared" si="5"/>
        <v/>
      </c>
      <c r="BL16" s="18" t="str">
        <f t="shared" si="6"/>
        <v/>
      </c>
      <c r="BM16" s="18" t="str">
        <f t="shared" si="7"/>
        <v/>
      </c>
      <c r="BN16" s="18" t="str">
        <f t="shared" si="8"/>
        <v/>
      </c>
    </row>
    <row r="17" spans="1:66" ht="8.25" customHeight="1">
      <c r="A17" s="1"/>
      <c r="B17" s="2"/>
      <c r="C17" s="258"/>
      <c r="D17" s="101"/>
      <c r="E17" s="4"/>
      <c r="F17" s="102"/>
      <c r="G17" s="2"/>
      <c r="H17" s="12"/>
      <c r="I17" s="12"/>
      <c r="J17" s="2"/>
      <c r="K17" s="12"/>
      <c r="L17" s="251"/>
      <c r="M17" s="259"/>
      <c r="N17" s="260"/>
      <c r="O17" s="2"/>
      <c r="P17" s="95"/>
      <c r="Q17" s="94"/>
      <c r="R17" s="2"/>
      <c r="S17" s="2"/>
      <c r="T17" s="2"/>
      <c r="U17" s="12"/>
      <c r="V17" s="13"/>
      <c r="W17" s="9"/>
      <c r="X17" s="4"/>
      <c r="Y17" s="11"/>
      <c r="Z17" s="12"/>
      <c r="AA17" s="12"/>
      <c r="AB17" s="12"/>
      <c r="AC17" s="12"/>
      <c r="AD17" s="12"/>
      <c r="AE17" s="12"/>
      <c r="AF17" s="12"/>
      <c r="AG17" s="12"/>
      <c r="AH17" s="103"/>
      <c r="AI17" s="102"/>
      <c r="AJ17" s="12"/>
      <c r="AK17" s="12"/>
      <c r="AL17" s="12"/>
      <c r="AM17" s="12"/>
      <c r="AN17" s="2"/>
      <c r="AO17" s="12"/>
      <c r="AP17" s="12"/>
      <c r="AQ17" s="12"/>
      <c r="AR17" s="13"/>
      <c r="AS17" s="11"/>
      <c r="AT17" s="12"/>
      <c r="AU17" s="4"/>
      <c r="AV17" s="102"/>
      <c r="AW17" s="16"/>
      <c r="AX17" s="2"/>
      <c r="AY17" s="2"/>
      <c r="AZ17" s="2"/>
      <c r="BA17" s="29"/>
      <c r="BB17" s="18"/>
      <c r="BC17" s="18" t="str">
        <f t="shared" si="0"/>
        <v/>
      </c>
      <c r="BD17" s="18" t="str">
        <f t="shared" si="1"/>
        <v/>
      </c>
      <c r="BE17" s="18" t="str">
        <f t="shared" si="2"/>
        <v/>
      </c>
      <c r="BF17" s="18"/>
      <c r="BG17" s="18"/>
      <c r="BH17" s="18"/>
      <c r="BI17" s="18" t="str">
        <f t="shared" si="3"/>
        <v/>
      </c>
      <c r="BJ17" s="18" t="str">
        <f t="shared" si="4"/>
        <v/>
      </c>
      <c r="BK17" s="18" t="str">
        <f t="shared" si="5"/>
        <v/>
      </c>
      <c r="BL17" s="18" t="str">
        <f t="shared" si="6"/>
        <v/>
      </c>
      <c r="BM17" s="18" t="str">
        <f t="shared" si="7"/>
        <v/>
      </c>
      <c r="BN17" s="18" t="str">
        <f t="shared" si="8"/>
        <v/>
      </c>
    </row>
    <row r="18" spans="1:66" ht="8.25" customHeight="1">
      <c r="A18" s="1"/>
      <c r="B18" s="2"/>
      <c r="C18" s="258"/>
      <c r="D18" s="101"/>
      <c r="E18" s="4"/>
      <c r="F18" s="102"/>
      <c r="G18" s="2"/>
      <c r="H18" s="12"/>
      <c r="I18" s="12"/>
      <c r="J18" s="2"/>
      <c r="K18" s="12"/>
      <c r="L18" s="251"/>
      <c r="M18" s="259"/>
      <c r="N18" s="260"/>
      <c r="O18" s="2"/>
      <c r="P18" s="95"/>
      <c r="Q18" s="94"/>
      <c r="R18" s="2"/>
      <c r="S18" s="2"/>
      <c r="T18" s="2"/>
      <c r="U18" s="12"/>
      <c r="V18" s="13"/>
      <c r="W18" s="9"/>
      <c r="X18" s="4"/>
      <c r="Y18" s="11"/>
      <c r="Z18" s="12"/>
      <c r="AA18" s="12"/>
      <c r="AB18" s="12"/>
      <c r="AC18" s="12"/>
      <c r="AD18" s="12"/>
      <c r="AE18" s="12"/>
      <c r="AF18" s="12"/>
      <c r="AG18" s="12"/>
      <c r="AH18" s="103"/>
      <c r="AI18" s="102"/>
      <c r="AJ18" s="12"/>
      <c r="AK18" s="12"/>
      <c r="AL18" s="12"/>
      <c r="AM18" s="12"/>
      <c r="AN18" s="2"/>
      <c r="AO18" s="12"/>
      <c r="AP18" s="12"/>
      <c r="AQ18" s="12"/>
      <c r="AR18" s="13"/>
      <c r="AS18" s="11"/>
      <c r="AT18" s="12"/>
      <c r="AU18" s="4"/>
      <c r="AV18" s="102"/>
      <c r="AW18" s="16"/>
      <c r="AX18" s="2"/>
      <c r="AY18" s="2"/>
      <c r="AZ18" s="2"/>
      <c r="BA18" s="29"/>
      <c r="BB18" s="18"/>
      <c r="BC18" s="18" t="str">
        <f t="shared" si="0"/>
        <v/>
      </c>
      <c r="BD18" s="18" t="str">
        <f t="shared" si="1"/>
        <v/>
      </c>
      <c r="BE18" s="18" t="str">
        <f t="shared" si="2"/>
        <v/>
      </c>
      <c r="BF18" s="18"/>
      <c r="BG18" s="18"/>
      <c r="BH18" s="18"/>
      <c r="BI18" s="18" t="str">
        <f t="shared" si="3"/>
        <v/>
      </c>
      <c r="BJ18" s="18" t="str">
        <f t="shared" si="4"/>
        <v/>
      </c>
      <c r="BK18" s="18" t="str">
        <f t="shared" si="5"/>
        <v/>
      </c>
      <c r="BL18" s="18" t="str">
        <f t="shared" si="6"/>
        <v/>
      </c>
      <c r="BM18" s="18" t="str">
        <f t="shared" si="7"/>
        <v/>
      </c>
      <c r="BN18" s="18" t="str">
        <f t="shared" si="8"/>
        <v/>
      </c>
    </row>
    <row r="19" spans="1:66" ht="8.25" customHeight="1">
      <c r="A19" s="1"/>
      <c r="B19" s="2"/>
      <c r="C19" s="258"/>
      <c r="D19" s="101"/>
      <c r="E19" s="4"/>
      <c r="F19" s="102"/>
      <c r="G19" s="2"/>
      <c r="H19" s="12"/>
      <c r="I19" s="12"/>
      <c r="J19" s="2"/>
      <c r="K19" s="12"/>
      <c r="L19" s="251"/>
      <c r="M19" s="259"/>
      <c r="N19" s="260"/>
      <c r="O19" s="2"/>
      <c r="P19" s="95"/>
      <c r="Q19" s="94"/>
      <c r="R19" s="2"/>
      <c r="S19" s="2"/>
      <c r="T19" s="2" t="s">
        <v>158</v>
      </c>
      <c r="U19" s="12"/>
      <c r="V19" s="13"/>
      <c r="W19" s="9"/>
      <c r="X19" s="4"/>
      <c r="Y19" s="11"/>
      <c r="Z19" s="12"/>
      <c r="AA19" s="12"/>
      <c r="AB19" s="12"/>
      <c r="AC19" s="12"/>
      <c r="AD19" s="12"/>
      <c r="AE19" s="12"/>
      <c r="AF19" s="12"/>
      <c r="AG19" s="12"/>
      <c r="AH19" s="103"/>
      <c r="AI19" s="102"/>
      <c r="AJ19" s="12"/>
      <c r="AK19" s="12"/>
      <c r="AL19" s="12"/>
      <c r="AM19" s="12"/>
      <c r="AN19" s="2"/>
      <c r="AO19" s="12"/>
      <c r="AP19" s="12"/>
      <c r="AQ19" s="12"/>
      <c r="AR19" s="13"/>
      <c r="AS19" s="11"/>
      <c r="AT19" s="12"/>
      <c r="AU19" s="4"/>
      <c r="AV19" s="102"/>
      <c r="AW19" s="16"/>
      <c r="AX19" s="2"/>
      <c r="AY19" s="2"/>
      <c r="AZ19" s="2"/>
      <c r="BA19" s="29"/>
      <c r="BB19" s="18"/>
      <c r="BC19" s="18" t="str">
        <f t="shared" si="0"/>
        <v/>
      </c>
      <c r="BD19" s="18" t="str">
        <f t="shared" si="1"/>
        <v/>
      </c>
      <c r="BE19" s="18" t="str">
        <f t="shared" si="2"/>
        <v/>
      </c>
      <c r="BF19" s="18"/>
      <c r="BG19" s="18"/>
      <c r="BH19" s="18"/>
      <c r="BI19" s="18" t="str">
        <f t="shared" si="3"/>
        <v/>
      </c>
      <c r="BJ19" s="18" t="str">
        <f t="shared" si="4"/>
        <v/>
      </c>
      <c r="BK19" s="18" t="str">
        <f t="shared" si="5"/>
        <v/>
      </c>
      <c r="BL19" s="18" t="str">
        <f t="shared" si="6"/>
        <v/>
      </c>
      <c r="BM19" s="18" t="str">
        <f t="shared" si="7"/>
        <v/>
      </c>
      <c r="BN19" s="18" t="str">
        <f t="shared" si="8"/>
        <v/>
      </c>
    </row>
    <row r="20" spans="1:66" ht="8.25" customHeight="1">
      <c r="A20" s="1"/>
      <c r="B20" s="2"/>
      <c r="C20" s="258"/>
      <c r="D20" s="101"/>
      <c r="E20" s="4"/>
      <c r="F20" s="102"/>
      <c r="G20" s="2"/>
      <c r="H20" s="12"/>
      <c r="I20" s="12"/>
      <c r="J20" s="2"/>
      <c r="K20" s="12"/>
      <c r="L20" s="251"/>
      <c r="M20" s="259"/>
      <c r="N20" s="260"/>
      <c r="O20" s="2"/>
      <c r="P20" s="95"/>
      <c r="Q20" s="94"/>
      <c r="R20" s="2"/>
      <c r="S20" s="2"/>
      <c r="T20" s="2"/>
      <c r="U20" s="12"/>
      <c r="V20" s="13"/>
      <c r="W20" s="9"/>
      <c r="X20" s="4"/>
      <c r="Y20" s="11"/>
      <c r="Z20" s="12"/>
      <c r="AA20" s="12"/>
      <c r="AB20" s="12"/>
      <c r="AC20" s="12"/>
      <c r="AD20" s="12"/>
      <c r="AE20" s="12"/>
      <c r="AF20" s="12"/>
      <c r="AG20" s="12"/>
      <c r="AH20" s="103"/>
      <c r="AI20" s="102"/>
      <c r="AJ20" s="12"/>
      <c r="AK20" s="12"/>
      <c r="AL20" s="12"/>
      <c r="AM20" s="12"/>
      <c r="AN20" s="2"/>
      <c r="AO20" s="12"/>
      <c r="AP20" s="12"/>
      <c r="AQ20" s="12"/>
      <c r="AR20" s="13"/>
      <c r="AS20" s="11"/>
      <c r="AT20" s="12"/>
      <c r="AU20" s="4"/>
      <c r="AV20" s="102"/>
      <c r="AW20" s="16"/>
      <c r="AX20" s="2"/>
      <c r="AY20" s="2"/>
      <c r="AZ20" s="2"/>
      <c r="BA20" s="29"/>
      <c r="BB20" s="18"/>
      <c r="BC20" s="18" t="str">
        <f t="shared" ref="BC20:BC47" si="9">IF(AND($AV20="TC",NOT(ISBLANK($AZ20))),$BA20*$AX20,"")</f>
        <v/>
      </c>
      <c r="BD20" s="18" t="str">
        <f t="shared" ref="BD20:BD47" si="10">IF(AND($AV20="TC",NOT(ISBLANK($AZ20))),$BA20,"")</f>
        <v/>
      </c>
      <c r="BE20" s="18" t="str">
        <f t="shared" ref="BE20:BE47" si="11">IF(AND($AV20="TC",NOT(ISBLANK($AZ20))),$AZ20,"")</f>
        <v/>
      </c>
      <c r="BF20" s="18"/>
      <c r="BG20" s="18"/>
      <c r="BH20" s="18"/>
      <c r="BI20" s="18" t="str">
        <f t="shared" ref="BI20:BI47" si="12">IF(AND($AV20="HTS",NOT(ISBLANK($AZ20))),$BA20*$AX20,"")</f>
        <v/>
      </c>
      <c r="BJ20" s="18" t="str">
        <f t="shared" ref="BJ20:BJ47" si="13">IF(AND($AV20="HTS",NOT(ISBLANK($AZ20))),$BA20,"")</f>
        <v/>
      </c>
      <c r="BK20" s="18" t="str">
        <f t="shared" ref="BK20:BK47" si="14">IF(AND($AV20="HTS",NOT(ISBLANK($AZ20))),$AZ20,"")</f>
        <v/>
      </c>
      <c r="BL20" s="18" t="str">
        <f t="shared" ref="BL20:BL47" si="15">IF(AND($AV20="HAST",NOT(ISBLANK($AZ20))),$BA20*$AX20,"")</f>
        <v/>
      </c>
      <c r="BM20" s="18" t="str">
        <f t="shared" ref="BM20:BM47" si="16">IF(AND($AV20="HAST",NOT(ISBLANK($AZ20))),$BA20,"")</f>
        <v/>
      </c>
      <c r="BN20" s="18" t="str">
        <f t="shared" ref="BN20:BN47" si="17">IF(AND($AV20="HAST",NOT(ISBLANK($AZ20))),$AZ20,"")</f>
        <v/>
      </c>
    </row>
    <row r="21" spans="1:66" ht="8.25" customHeight="1">
      <c r="A21" s="1"/>
      <c r="B21" s="2"/>
      <c r="C21" s="258"/>
      <c r="D21" s="101"/>
      <c r="E21" s="4"/>
      <c r="F21" s="102"/>
      <c r="G21" s="2"/>
      <c r="H21" s="12"/>
      <c r="I21" s="12"/>
      <c r="J21" s="2"/>
      <c r="K21" s="12"/>
      <c r="L21" s="251"/>
      <c r="M21" s="259"/>
      <c r="N21" s="260"/>
      <c r="O21" s="2"/>
      <c r="P21" s="95"/>
      <c r="Q21" s="94"/>
      <c r="R21" s="2"/>
      <c r="S21" s="2"/>
      <c r="T21" s="2" t="s">
        <v>158</v>
      </c>
      <c r="U21" s="12"/>
      <c r="V21" s="13"/>
      <c r="W21" s="9"/>
      <c r="X21" s="4"/>
      <c r="Y21" s="11"/>
      <c r="Z21" s="12"/>
      <c r="AA21" s="12"/>
      <c r="AB21" s="12"/>
      <c r="AC21" s="12"/>
      <c r="AD21" s="12"/>
      <c r="AE21" s="12"/>
      <c r="AF21" s="12"/>
      <c r="AG21" s="12"/>
      <c r="AH21" s="103"/>
      <c r="AI21" s="102"/>
      <c r="AJ21" s="12"/>
      <c r="AK21" s="12"/>
      <c r="AL21" s="12"/>
      <c r="AM21" s="12"/>
      <c r="AN21" s="2"/>
      <c r="AO21" s="12"/>
      <c r="AP21" s="12"/>
      <c r="AQ21" s="12"/>
      <c r="AR21" s="13"/>
      <c r="AS21" s="11"/>
      <c r="AT21" s="12"/>
      <c r="AU21" s="4"/>
      <c r="AV21" s="102"/>
      <c r="AW21" s="16"/>
      <c r="AX21" s="2"/>
      <c r="AY21" s="2"/>
      <c r="AZ21" s="2"/>
      <c r="BA21" s="29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 spans="1:66" ht="8.25" customHeight="1">
      <c r="A22" s="1"/>
      <c r="B22" s="2"/>
      <c r="C22" s="258"/>
      <c r="D22" s="101"/>
      <c r="E22" s="4"/>
      <c r="F22" s="102"/>
      <c r="G22" s="2"/>
      <c r="H22" s="12"/>
      <c r="I22" s="12"/>
      <c r="J22" s="2"/>
      <c r="K22" s="12"/>
      <c r="L22" s="251"/>
      <c r="M22" s="259"/>
      <c r="N22" s="260"/>
      <c r="O22" s="2"/>
      <c r="P22" s="95"/>
      <c r="Q22" s="94"/>
      <c r="R22" s="2"/>
      <c r="S22" s="2"/>
      <c r="T22" s="2"/>
      <c r="U22" s="12"/>
      <c r="V22" s="13"/>
      <c r="W22" s="9"/>
      <c r="X22" s="4"/>
      <c r="Y22" s="11"/>
      <c r="Z22" s="12"/>
      <c r="AA22" s="12"/>
      <c r="AB22" s="12"/>
      <c r="AC22" s="12"/>
      <c r="AD22" s="12"/>
      <c r="AE22" s="12"/>
      <c r="AF22" s="12"/>
      <c r="AG22" s="12"/>
      <c r="AH22" s="103"/>
      <c r="AI22" s="102"/>
      <c r="AJ22" s="12"/>
      <c r="AK22" s="12"/>
      <c r="AL22" s="12"/>
      <c r="AM22" s="12"/>
      <c r="AN22" s="2"/>
      <c r="AO22" s="12"/>
      <c r="AP22" s="12"/>
      <c r="AQ22" s="12"/>
      <c r="AR22" s="13"/>
      <c r="AS22" s="11"/>
      <c r="AT22" s="12"/>
      <c r="AU22" s="4"/>
      <c r="AV22" s="102"/>
      <c r="AW22" s="16"/>
      <c r="AX22" s="2"/>
      <c r="AY22" s="2"/>
      <c r="AZ22" s="2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1:66" ht="8.25" customHeight="1">
      <c r="A23" s="1"/>
      <c r="B23" s="2"/>
      <c r="C23" s="258"/>
      <c r="D23" s="101"/>
      <c r="E23" s="4"/>
      <c r="F23" s="102"/>
      <c r="G23" s="2"/>
      <c r="H23" s="12"/>
      <c r="I23" s="12"/>
      <c r="J23" s="2"/>
      <c r="K23" s="12"/>
      <c r="L23" s="251"/>
      <c r="M23" s="259"/>
      <c r="N23" s="260"/>
      <c r="O23" s="2"/>
      <c r="P23" s="95"/>
      <c r="Q23" s="94"/>
      <c r="R23" s="2"/>
      <c r="S23" s="2"/>
      <c r="T23" s="2" t="s">
        <v>158</v>
      </c>
      <c r="U23" s="12"/>
      <c r="V23" s="13"/>
      <c r="W23" s="9"/>
      <c r="X23" s="4"/>
      <c r="Y23" s="11"/>
      <c r="Z23" s="12"/>
      <c r="AA23" s="12"/>
      <c r="AB23" s="12"/>
      <c r="AC23" s="12"/>
      <c r="AD23" s="12"/>
      <c r="AE23" s="12"/>
      <c r="AF23" s="12"/>
      <c r="AG23" s="12"/>
      <c r="AH23" s="103"/>
      <c r="AI23" s="102"/>
      <c r="AJ23" s="12"/>
      <c r="AK23" s="12"/>
      <c r="AL23" s="12"/>
      <c r="AM23" s="12"/>
      <c r="AN23" s="2"/>
      <c r="AO23" s="12"/>
      <c r="AP23" s="12"/>
      <c r="AQ23" s="12"/>
      <c r="AR23" s="13"/>
      <c r="AS23" s="11"/>
      <c r="AT23" s="12"/>
      <c r="AU23" s="4"/>
      <c r="AV23" s="102"/>
      <c r="AW23" s="16"/>
      <c r="AX23" s="2"/>
      <c r="AY23" s="2"/>
      <c r="AZ23" s="2"/>
      <c r="BA23" s="29"/>
      <c r="BB23" s="18"/>
      <c r="BC23" s="18" t="str">
        <f t="shared" si="9"/>
        <v/>
      </c>
      <c r="BD23" s="18" t="str">
        <f t="shared" si="10"/>
        <v/>
      </c>
      <c r="BE23" s="18" t="str">
        <f t="shared" si="11"/>
        <v/>
      </c>
      <c r="BF23" s="18"/>
      <c r="BG23" s="18"/>
      <c r="BH23" s="18"/>
      <c r="BI23" s="18" t="str">
        <f t="shared" si="12"/>
        <v/>
      </c>
      <c r="BJ23" s="18" t="str">
        <f t="shared" si="13"/>
        <v/>
      </c>
      <c r="BK23" s="18" t="str">
        <f t="shared" si="14"/>
        <v/>
      </c>
      <c r="BL23" s="18" t="str">
        <f t="shared" si="15"/>
        <v/>
      </c>
      <c r="BM23" s="18" t="str">
        <f t="shared" si="16"/>
        <v/>
      </c>
      <c r="BN23" s="18" t="str">
        <f t="shared" si="17"/>
        <v/>
      </c>
    </row>
    <row r="24" spans="1:66" ht="8.25" customHeight="1">
      <c r="A24" s="1"/>
      <c r="B24" s="2"/>
      <c r="C24" s="258"/>
      <c r="D24" s="101"/>
      <c r="E24" s="4"/>
      <c r="F24" s="102"/>
      <c r="G24" s="2"/>
      <c r="H24" s="12"/>
      <c r="I24" s="12"/>
      <c r="J24" s="2"/>
      <c r="K24" s="12"/>
      <c r="L24" s="251"/>
      <c r="M24" s="259"/>
      <c r="N24" s="260"/>
      <c r="O24" s="2"/>
      <c r="P24" s="95"/>
      <c r="Q24" s="94"/>
      <c r="R24" s="2"/>
      <c r="S24" s="2"/>
      <c r="T24" s="2"/>
      <c r="U24" s="12"/>
      <c r="V24" s="13"/>
      <c r="W24" s="9"/>
      <c r="X24" s="4"/>
      <c r="Y24" s="11"/>
      <c r="Z24" s="12"/>
      <c r="AA24" s="12"/>
      <c r="AB24" s="12"/>
      <c r="AC24" s="12"/>
      <c r="AD24" s="12"/>
      <c r="AE24" s="12"/>
      <c r="AF24" s="12"/>
      <c r="AG24" s="12"/>
      <c r="AH24" s="103"/>
      <c r="AI24" s="102"/>
      <c r="AJ24" s="12"/>
      <c r="AK24" s="12"/>
      <c r="AL24" s="12"/>
      <c r="AM24" s="12"/>
      <c r="AN24" s="2"/>
      <c r="AO24" s="12"/>
      <c r="AP24" s="12"/>
      <c r="AQ24" s="12"/>
      <c r="AR24" s="13"/>
      <c r="AS24" s="11"/>
      <c r="AT24" s="12"/>
      <c r="AU24" s="4"/>
      <c r="AV24" s="102"/>
      <c r="AW24" s="16"/>
      <c r="AX24" s="2"/>
      <c r="AY24" s="2"/>
      <c r="AZ24" s="2"/>
      <c r="BA24" s="29"/>
      <c r="BB24" s="18"/>
      <c r="BC24" s="18" t="str">
        <f t="shared" si="9"/>
        <v/>
      </c>
      <c r="BD24" s="18" t="str">
        <f t="shared" si="10"/>
        <v/>
      </c>
      <c r="BE24" s="18" t="str">
        <f t="shared" si="11"/>
        <v/>
      </c>
      <c r="BF24" s="18"/>
      <c r="BG24" s="18"/>
      <c r="BH24" s="18"/>
      <c r="BI24" s="18" t="str">
        <f t="shared" si="12"/>
        <v/>
      </c>
      <c r="BJ24" s="18" t="str">
        <f t="shared" si="13"/>
        <v/>
      </c>
      <c r="BK24" s="18" t="str">
        <f t="shared" si="14"/>
        <v/>
      </c>
      <c r="BL24" s="18" t="str">
        <f t="shared" si="15"/>
        <v/>
      </c>
      <c r="BM24" s="18" t="str">
        <f t="shared" si="16"/>
        <v/>
      </c>
      <c r="BN24" s="18" t="str">
        <f t="shared" si="17"/>
        <v/>
      </c>
    </row>
    <row r="25" spans="1:66" ht="8.25" customHeight="1">
      <c r="A25" s="1"/>
      <c r="B25" s="2"/>
      <c r="C25" s="258"/>
      <c r="D25" s="101"/>
      <c r="E25" s="4"/>
      <c r="F25" s="102"/>
      <c r="G25" s="2"/>
      <c r="H25" s="12"/>
      <c r="I25" s="12"/>
      <c r="J25" s="2"/>
      <c r="K25" s="12"/>
      <c r="L25" s="251"/>
      <c r="M25" s="259"/>
      <c r="N25" s="260"/>
      <c r="O25" s="2"/>
      <c r="P25" s="95"/>
      <c r="Q25" s="94"/>
      <c r="R25" s="2"/>
      <c r="S25" s="2"/>
      <c r="T25" s="2"/>
      <c r="U25" s="12"/>
      <c r="V25" s="13"/>
      <c r="W25" s="9"/>
      <c r="X25" s="4"/>
      <c r="Y25" s="11"/>
      <c r="Z25" s="12"/>
      <c r="AA25" s="12"/>
      <c r="AB25" s="12"/>
      <c r="AC25" s="12"/>
      <c r="AD25" s="12"/>
      <c r="AE25" s="12"/>
      <c r="AF25" s="12"/>
      <c r="AG25" s="12"/>
      <c r="AH25" s="103"/>
      <c r="AI25" s="102"/>
      <c r="AJ25" s="12"/>
      <c r="AK25" s="12"/>
      <c r="AL25" s="12"/>
      <c r="AM25" s="12"/>
      <c r="AN25" s="2"/>
      <c r="AO25" s="12"/>
      <c r="AP25" s="12"/>
      <c r="AQ25" s="12"/>
      <c r="AR25" s="13"/>
      <c r="AS25" s="11"/>
      <c r="AT25" s="12"/>
      <c r="AU25" s="4"/>
      <c r="AV25" s="102"/>
      <c r="AW25" s="16"/>
      <c r="AX25" s="2"/>
      <c r="AY25" s="2"/>
      <c r="AZ25" s="2"/>
      <c r="BA25" s="29"/>
      <c r="BB25" s="18"/>
      <c r="BC25" s="18" t="str">
        <f t="shared" si="9"/>
        <v/>
      </c>
      <c r="BD25" s="18" t="str">
        <f t="shared" si="10"/>
        <v/>
      </c>
      <c r="BE25" s="18" t="str">
        <f t="shared" si="11"/>
        <v/>
      </c>
      <c r="BF25" s="18"/>
      <c r="BG25" s="18"/>
      <c r="BH25" s="18"/>
      <c r="BI25" s="18" t="str">
        <f t="shared" si="12"/>
        <v/>
      </c>
      <c r="BJ25" s="18" t="str">
        <f t="shared" si="13"/>
        <v/>
      </c>
      <c r="BK25" s="18" t="str">
        <f t="shared" si="14"/>
        <v/>
      </c>
      <c r="BL25" s="18" t="str">
        <f t="shared" si="15"/>
        <v/>
      </c>
      <c r="BM25" s="18" t="str">
        <f t="shared" si="16"/>
        <v/>
      </c>
      <c r="BN25" s="18" t="str">
        <f t="shared" si="17"/>
        <v/>
      </c>
    </row>
    <row r="26" spans="1:66" ht="8.25" customHeight="1">
      <c r="A26" s="1"/>
      <c r="B26" s="2"/>
      <c r="C26" s="258"/>
      <c r="D26" s="101"/>
      <c r="E26" s="4"/>
      <c r="F26" s="102"/>
      <c r="G26" s="2"/>
      <c r="H26" s="12"/>
      <c r="I26" s="12"/>
      <c r="J26" s="2"/>
      <c r="K26" s="12"/>
      <c r="L26" s="251"/>
      <c r="M26" s="259"/>
      <c r="N26" s="260"/>
      <c r="O26" s="2"/>
      <c r="P26" s="95"/>
      <c r="Q26" s="94"/>
      <c r="R26" s="2"/>
      <c r="S26" s="2"/>
      <c r="T26" s="2"/>
      <c r="U26" s="12"/>
      <c r="V26" s="13"/>
      <c r="W26" s="9"/>
      <c r="X26" s="4"/>
      <c r="Y26" s="11"/>
      <c r="Z26" s="12"/>
      <c r="AA26" s="12"/>
      <c r="AB26" s="12"/>
      <c r="AC26" s="12"/>
      <c r="AD26" s="12"/>
      <c r="AE26" s="12"/>
      <c r="AF26" s="12"/>
      <c r="AG26" s="12"/>
      <c r="AH26" s="103"/>
      <c r="AI26" s="102"/>
      <c r="AJ26" s="12"/>
      <c r="AK26" s="12"/>
      <c r="AL26" s="12"/>
      <c r="AM26" s="12"/>
      <c r="AN26" s="2"/>
      <c r="AO26" s="12"/>
      <c r="AP26" s="12"/>
      <c r="AQ26" s="12"/>
      <c r="AR26" s="13"/>
      <c r="AS26" s="11"/>
      <c r="AT26" s="12"/>
      <c r="AU26" s="4"/>
      <c r="AV26" s="102"/>
      <c r="AW26" s="16"/>
      <c r="AX26" s="2"/>
      <c r="AY26" s="2"/>
      <c r="AZ26" s="2"/>
      <c r="BA26" s="29"/>
      <c r="BB26" s="18"/>
      <c r="BC26" s="18" t="str">
        <f t="shared" si="9"/>
        <v/>
      </c>
      <c r="BD26" s="18" t="str">
        <f t="shared" si="10"/>
        <v/>
      </c>
      <c r="BE26" s="18" t="str">
        <f t="shared" si="11"/>
        <v/>
      </c>
      <c r="BF26" s="18"/>
      <c r="BG26" s="18"/>
      <c r="BH26" s="18"/>
      <c r="BI26" s="18" t="str">
        <f t="shared" si="12"/>
        <v/>
      </c>
      <c r="BJ26" s="18" t="str">
        <f t="shared" si="13"/>
        <v/>
      </c>
      <c r="BK26" s="18" t="str">
        <f t="shared" si="14"/>
        <v/>
      </c>
      <c r="BL26" s="18" t="str">
        <f t="shared" si="15"/>
        <v/>
      </c>
      <c r="BM26" s="18" t="str">
        <f t="shared" si="16"/>
        <v/>
      </c>
      <c r="BN26" s="18" t="str">
        <f t="shared" si="17"/>
        <v/>
      </c>
    </row>
    <row r="27" spans="1:66" ht="8.25" customHeight="1">
      <c r="A27" s="1"/>
      <c r="B27" s="2"/>
      <c r="C27" s="258"/>
      <c r="D27" s="101"/>
      <c r="E27" s="4"/>
      <c r="F27" s="102"/>
      <c r="G27" s="2"/>
      <c r="H27" s="12"/>
      <c r="I27" s="12"/>
      <c r="J27" s="2"/>
      <c r="K27" s="12"/>
      <c r="L27" s="251"/>
      <c r="M27" s="259"/>
      <c r="N27" s="260"/>
      <c r="O27" s="2"/>
      <c r="P27" s="95"/>
      <c r="Q27" s="94"/>
      <c r="R27" s="2"/>
      <c r="S27" s="2"/>
      <c r="T27" s="2"/>
      <c r="U27" s="12"/>
      <c r="V27" s="13"/>
      <c r="W27" s="9"/>
      <c r="X27" s="4"/>
      <c r="Y27" s="11"/>
      <c r="Z27" s="12"/>
      <c r="AA27" s="12"/>
      <c r="AB27" s="12"/>
      <c r="AC27" s="12"/>
      <c r="AD27" s="12"/>
      <c r="AE27" s="12"/>
      <c r="AF27" s="12"/>
      <c r="AG27" s="12"/>
      <c r="AH27" s="103"/>
      <c r="AI27" s="102"/>
      <c r="AJ27" s="12"/>
      <c r="AK27" s="12"/>
      <c r="AL27" s="12"/>
      <c r="AM27" s="12"/>
      <c r="AN27" s="2"/>
      <c r="AO27" s="12"/>
      <c r="AP27" s="12"/>
      <c r="AQ27" s="12"/>
      <c r="AR27" s="13"/>
      <c r="AS27" s="11"/>
      <c r="AT27" s="12"/>
      <c r="AU27" s="4"/>
      <c r="AV27" s="102"/>
      <c r="AW27" s="16"/>
      <c r="AX27" s="2"/>
      <c r="AY27" s="2"/>
      <c r="AZ27" s="2"/>
      <c r="BA27" s="29"/>
      <c r="BB27" s="18"/>
      <c r="BC27" s="18" t="str">
        <f t="shared" si="9"/>
        <v/>
      </c>
      <c r="BD27" s="18" t="str">
        <f t="shared" si="10"/>
        <v/>
      </c>
      <c r="BE27" s="18" t="str">
        <f t="shared" si="11"/>
        <v/>
      </c>
      <c r="BF27" s="18"/>
      <c r="BG27" s="18"/>
      <c r="BH27" s="18"/>
      <c r="BI27" s="18" t="str">
        <f t="shared" si="12"/>
        <v/>
      </c>
      <c r="BJ27" s="18" t="str">
        <f t="shared" si="13"/>
        <v/>
      </c>
      <c r="BK27" s="18" t="str">
        <f t="shared" si="14"/>
        <v/>
      </c>
      <c r="BL27" s="18" t="str">
        <f t="shared" si="15"/>
        <v/>
      </c>
      <c r="BM27" s="18" t="str">
        <f t="shared" si="16"/>
        <v/>
      </c>
      <c r="BN27" s="18" t="str">
        <f t="shared" si="17"/>
        <v/>
      </c>
    </row>
    <row r="28" spans="1:66" ht="8.25" customHeight="1">
      <c r="A28" s="1"/>
      <c r="B28" s="2"/>
      <c r="C28" s="258"/>
      <c r="D28" s="101"/>
      <c r="E28" s="4"/>
      <c r="F28" s="102"/>
      <c r="G28" s="2"/>
      <c r="H28" s="12"/>
      <c r="I28" s="12"/>
      <c r="J28" s="2"/>
      <c r="K28" s="12"/>
      <c r="L28" s="251"/>
      <c r="M28" s="259"/>
      <c r="N28" s="260"/>
      <c r="O28" s="2"/>
      <c r="P28" s="95"/>
      <c r="Q28" s="94"/>
      <c r="R28" s="2"/>
      <c r="S28" s="2"/>
      <c r="T28" s="2"/>
      <c r="U28" s="12"/>
      <c r="V28" s="13"/>
      <c r="W28" s="9"/>
      <c r="X28" s="4"/>
      <c r="Y28" s="11"/>
      <c r="Z28" s="12"/>
      <c r="AA28" s="12"/>
      <c r="AB28" s="12"/>
      <c r="AC28" s="12"/>
      <c r="AD28" s="12"/>
      <c r="AE28" s="12"/>
      <c r="AF28" s="12"/>
      <c r="AG28" s="12"/>
      <c r="AH28" s="103"/>
      <c r="AI28" s="102"/>
      <c r="AJ28" s="12"/>
      <c r="AK28" s="12"/>
      <c r="AL28" s="12"/>
      <c r="AM28" s="12"/>
      <c r="AN28" s="2"/>
      <c r="AO28" s="12"/>
      <c r="AP28" s="12"/>
      <c r="AQ28" s="12"/>
      <c r="AR28" s="13"/>
      <c r="AS28" s="11"/>
      <c r="AT28" s="12"/>
      <c r="AU28" s="4"/>
      <c r="AV28" s="102"/>
      <c r="AW28" s="16"/>
      <c r="AX28" s="2"/>
      <c r="AY28" s="2"/>
      <c r="AZ28" s="2"/>
      <c r="BA28" s="29"/>
      <c r="BB28" s="18"/>
      <c r="BC28" s="18" t="str">
        <f t="shared" si="9"/>
        <v/>
      </c>
      <c r="BD28" s="18" t="str">
        <f t="shared" si="10"/>
        <v/>
      </c>
      <c r="BE28" s="18" t="str">
        <f t="shared" si="11"/>
        <v/>
      </c>
      <c r="BF28" s="18"/>
      <c r="BG28" s="18"/>
      <c r="BH28" s="18"/>
      <c r="BI28" s="18" t="str">
        <f t="shared" si="12"/>
        <v/>
      </c>
      <c r="BJ28" s="18" t="str">
        <f t="shared" si="13"/>
        <v/>
      </c>
      <c r="BK28" s="18" t="str">
        <f t="shared" si="14"/>
        <v/>
      </c>
      <c r="BL28" s="18" t="str">
        <f t="shared" si="15"/>
        <v/>
      </c>
      <c r="BM28" s="18" t="str">
        <f t="shared" si="16"/>
        <v/>
      </c>
      <c r="BN28" s="18" t="str">
        <f t="shared" si="17"/>
        <v/>
      </c>
    </row>
    <row r="29" spans="1:66" ht="8.25" customHeight="1">
      <c r="A29" s="1"/>
      <c r="B29" s="2"/>
      <c r="C29" s="258"/>
      <c r="D29" s="101"/>
      <c r="E29" s="4"/>
      <c r="F29" s="102"/>
      <c r="G29" s="2"/>
      <c r="H29" s="12"/>
      <c r="I29" s="12"/>
      <c r="J29" s="2"/>
      <c r="K29" s="12"/>
      <c r="L29" s="251"/>
      <c r="M29" s="259"/>
      <c r="N29" s="260"/>
      <c r="O29" s="2"/>
      <c r="P29" s="95"/>
      <c r="Q29" s="94"/>
      <c r="R29" s="2"/>
      <c r="S29" s="2"/>
      <c r="T29" s="2"/>
      <c r="U29" s="12"/>
      <c r="V29" s="13"/>
      <c r="W29" s="9"/>
      <c r="X29" s="4"/>
      <c r="Y29" s="11"/>
      <c r="Z29" s="12"/>
      <c r="AA29" s="12"/>
      <c r="AB29" s="12"/>
      <c r="AC29" s="12"/>
      <c r="AD29" s="12"/>
      <c r="AE29" s="12"/>
      <c r="AF29" s="12"/>
      <c r="AG29" s="12"/>
      <c r="AH29" s="103"/>
      <c r="AI29" s="102"/>
      <c r="AJ29" s="12"/>
      <c r="AK29" s="12"/>
      <c r="AL29" s="12"/>
      <c r="AM29" s="12"/>
      <c r="AN29" s="2"/>
      <c r="AO29" s="12"/>
      <c r="AP29" s="12"/>
      <c r="AQ29" s="12"/>
      <c r="AR29" s="13"/>
      <c r="AS29" s="11"/>
      <c r="AT29" s="12"/>
      <c r="AU29" s="4"/>
      <c r="AV29" s="102"/>
      <c r="AW29" s="16"/>
      <c r="AX29" s="2"/>
      <c r="AY29" s="2"/>
      <c r="AZ29" s="2"/>
      <c r="BA29" s="29"/>
      <c r="BB29" s="18"/>
      <c r="BC29" s="18" t="str">
        <f t="shared" si="9"/>
        <v/>
      </c>
      <c r="BD29" s="18" t="str">
        <f t="shared" si="10"/>
        <v/>
      </c>
      <c r="BE29" s="18" t="str">
        <f t="shared" si="11"/>
        <v/>
      </c>
      <c r="BF29" s="18"/>
      <c r="BG29" s="18"/>
      <c r="BH29" s="18"/>
      <c r="BI29" s="18" t="str">
        <f t="shared" si="12"/>
        <v/>
      </c>
      <c r="BJ29" s="18" t="str">
        <f t="shared" si="13"/>
        <v/>
      </c>
      <c r="BK29" s="18" t="str">
        <f t="shared" si="14"/>
        <v/>
      </c>
      <c r="BL29" s="18" t="str">
        <f t="shared" si="15"/>
        <v/>
      </c>
      <c r="BM29" s="18" t="str">
        <f t="shared" si="16"/>
        <v/>
      </c>
      <c r="BN29" s="18" t="str">
        <f t="shared" si="17"/>
        <v/>
      </c>
    </row>
    <row r="30" spans="1:66" ht="8.25" customHeight="1">
      <c r="A30" s="1"/>
      <c r="B30" s="2"/>
      <c r="C30" s="258"/>
      <c r="D30" s="101"/>
      <c r="E30" s="4"/>
      <c r="F30" s="102"/>
      <c r="G30" s="2"/>
      <c r="H30" s="12"/>
      <c r="I30" s="12"/>
      <c r="J30" s="2"/>
      <c r="K30" s="12"/>
      <c r="L30" s="251"/>
      <c r="M30" s="259"/>
      <c r="N30" s="260"/>
      <c r="O30" s="2"/>
      <c r="P30" s="95"/>
      <c r="Q30" s="94"/>
      <c r="R30" s="2"/>
      <c r="S30" s="2"/>
      <c r="T30" s="2"/>
      <c r="U30" s="12"/>
      <c r="V30" s="13"/>
      <c r="W30" s="9"/>
      <c r="X30" s="4"/>
      <c r="Y30" s="11"/>
      <c r="Z30" s="12"/>
      <c r="AA30" s="12"/>
      <c r="AB30" s="12"/>
      <c r="AC30" s="12"/>
      <c r="AD30" s="12"/>
      <c r="AE30" s="12"/>
      <c r="AF30" s="12"/>
      <c r="AG30" s="12"/>
      <c r="AH30" s="103"/>
      <c r="AI30" s="102"/>
      <c r="AJ30" s="12"/>
      <c r="AK30" s="12"/>
      <c r="AL30" s="12"/>
      <c r="AM30" s="12"/>
      <c r="AN30" s="2"/>
      <c r="AO30" s="12"/>
      <c r="AP30" s="12"/>
      <c r="AQ30" s="12"/>
      <c r="AR30" s="13"/>
      <c r="AS30" s="11"/>
      <c r="AT30" s="12"/>
      <c r="AU30" s="4"/>
      <c r="AV30" s="102"/>
      <c r="AW30" s="16"/>
      <c r="AX30" s="2"/>
      <c r="AY30" s="2"/>
      <c r="AZ30" s="2"/>
      <c r="BA30" s="29"/>
      <c r="BB30" s="18"/>
      <c r="BC30" s="18" t="str">
        <f t="shared" si="9"/>
        <v/>
      </c>
      <c r="BD30" s="18" t="str">
        <f t="shared" si="10"/>
        <v/>
      </c>
      <c r="BE30" s="18" t="str">
        <f t="shared" si="11"/>
        <v/>
      </c>
      <c r="BF30" s="18"/>
      <c r="BG30" s="18"/>
      <c r="BH30" s="18"/>
      <c r="BI30" s="18" t="str">
        <f t="shared" si="12"/>
        <v/>
      </c>
      <c r="BJ30" s="18" t="str">
        <f t="shared" si="13"/>
        <v/>
      </c>
      <c r="BK30" s="18" t="str">
        <f t="shared" si="14"/>
        <v/>
      </c>
      <c r="BL30" s="18" t="str">
        <f t="shared" si="15"/>
        <v/>
      </c>
      <c r="BM30" s="18" t="str">
        <f t="shared" si="16"/>
        <v/>
      </c>
      <c r="BN30" s="18" t="str">
        <f t="shared" si="17"/>
        <v/>
      </c>
    </row>
    <row r="31" spans="1:66" ht="8.25" customHeight="1">
      <c r="A31" s="1"/>
      <c r="B31" s="2"/>
      <c r="C31" s="258"/>
      <c r="D31" s="101"/>
      <c r="E31" s="4"/>
      <c r="F31" s="102"/>
      <c r="G31" s="2"/>
      <c r="H31" s="12"/>
      <c r="I31" s="12"/>
      <c r="J31" s="2"/>
      <c r="K31" s="12"/>
      <c r="L31" s="251"/>
      <c r="M31" s="259"/>
      <c r="N31" s="260"/>
      <c r="O31" s="2"/>
      <c r="P31" s="95"/>
      <c r="Q31" s="94"/>
      <c r="R31" s="2"/>
      <c r="S31" s="2"/>
      <c r="T31" s="2"/>
      <c r="U31" s="12"/>
      <c r="V31" s="13"/>
      <c r="W31" s="9"/>
      <c r="X31" s="4"/>
      <c r="Y31" s="11"/>
      <c r="Z31" s="12"/>
      <c r="AA31" s="12"/>
      <c r="AB31" s="12"/>
      <c r="AC31" s="12"/>
      <c r="AD31" s="12"/>
      <c r="AE31" s="12"/>
      <c r="AF31" s="12"/>
      <c r="AG31" s="12"/>
      <c r="AH31" s="103"/>
      <c r="AI31" s="102"/>
      <c r="AJ31" s="12"/>
      <c r="AK31" s="12"/>
      <c r="AL31" s="12"/>
      <c r="AM31" s="12"/>
      <c r="AN31" s="2"/>
      <c r="AO31" s="12"/>
      <c r="AP31" s="12"/>
      <c r="AQ31" s="12"/>
      <c r="AR31" s="13"/>
      <c r="AS31" s="11"/>
      <c r="AT31" s="12"/>
      <c r="AU31" s="4"/>
      <c r="AV31" s="102"/>
      <c r="AW31" s="16"/>
      <c r="AX31" s="2"/>
      <c r="AY31" s="2"/>
      <c r="AZ31" s="2"/>
      <c r="BA31" s="29"/>
      <c r="BB31" s="18"/>
      <c r="BC31" s="18" t="str">
        <f t="shared" si="9"/>
        <v/>
      </c>
      <c r="BD31" s="18" t="str">
        <f t="shared" si="10"/>
        <v/>
      </c>
      <c r="BE31" s="18" t="str">
        <f t="shared" si="11"/>
        <v/>
      </c>
      <c r="BF31" s="18"/>
      <c r="BG31" s="18"/>
      <c r="BH31" s="18"/>
      <c r="BI31" s="18" t="str">
        <f t="shared" si="12"/>
        <v/>
      </c>
      <c r="BJ31" s="18" t="str">
        <f t="shared" si="13"/>
        <v/>
      </c>
      <c r="BK31" s="18" t="str">
        <f t="shared" si="14"/>
        <v/>
      </c>
      <c r="BL31" s="18" t="str">
        <f t="shared" si="15"/>
        <v/>
      </c>
      <c r="BM31" s="18" t="str">
        <f t="shared" si="16"/>
        <v/>
      </c>
      <c r="BN31" s="18" t="str">
        <f t="shared" si="17"/>
        <v/>
      </c>
    </row>
    <row r="32" spans="1:66" ht="8.25" customHeight="1">
      <c r="A32" s="1"/>
      <c r="B32" s="2"/>
      <c r="C32" s="258"/>
      <c r="D32" s="101"/>
      <c r="E32" s="4"/>
      <c r="F32" s="102"/>
      <c r="G32" s="2"/>
      <c r="H32" s="12"/>
      <c r="I32" s="12"/>
      <c r="J32" s="2"/>
      <c r="K32" s="12"/>
      <c r="L32" s="251"/>
      <c r="M32" s="259"/>
      <c r="N32" s="260"/>
      <c r="O32" s="2"/>
      <c r="P32" s="95"/>
      <c r="Q32" s="94"/>
      <c r="R32" s="2"/>
      <c r="S32" s="2"/>
      <c r="T32" s="2"/>
      <c r="U32" s="12"/>
      <c r="V32" s="13"/>
      <c r="W32" s="9"/>
      <c r="X32" s="4"/>
      <c r="Y32" s="11"/>
      <c r="Z32" s="12"/>
      <c r="AA32" s="12"/>
      <c r="AB32" s="12"/>
      <c r="AC32" s="12"/>
      <c r="AD32" s="12"/>
      <c r="AE32" s="12"/>
      <c r="AF32" s="12"/>
      <c r="AG32" s="12"/>
      <c r="AH32" s="103"/>
      <c r="AI32" s="102"/>
      <c r="AJ32" s="12"/>
      <c r="AK32" s="12"/>
      <c r="AL32" s="12"/>
      <c r="AM32" s="12"/>
      <c r="AN32" s="2"/>
      <c r="AO32" s="12"/>
      <c r="AP32" s="12"/>
      <c r="AQ32" s="12"/>
      <c r="AR32" s="13"/>
      <c r="AS32" s="11"/>
      <c r="AT32" s="12"/>
      <c r="AU32" s="4"/>
      <c r="AV32" s="102"/>
      <c r="AW32" s="16"/>
      <c r="AX32" s="2"/>
      <c r="AY32" s="2"/>
      <c r="AZ32" s="2"/>
      <c r="BA32" s="29"/>
      <c r="BB32" s="18"/>
      <c r="BC32" s="18" t="str">
        <f t="shared" si="9"/>
        <v/>
      </c>
      <c r="BD32" s="18" t="str">
        <f t="shared" si="10"/>
        <v/>
      </c>
      <c r="BE32" s="18" t="str">
        <f t="shared" si="11"/>
        <v/>
      </c>
      <c r="BF32" s="18"/>
      <c r="BG32" s="18"/>
      <c r="BH32" s="18"/>
      <c r="BI32" s="18" t="str">
        <f t="shared" si="12"/>
        <v/>
      </c>
      <c r="BJ32" s="18" t="str">
        <f t="shared" si="13"/>
        <v/>
      </c>
      <c r="BK32" s="18" t="str">
        <f t="shared" si="14"/>
        <v/>
      </c>
      <c r="BL32" s="18" t="str">
        <f t="shared" si="15"/>
        <v/>
      </c>
      <c r="BM32" s="18" t="str">
        <f t="shared" si="16"/>
        <v/>
      </c>
      <c r="BN32" s="18" t="str">
        <f t="shared" si="17"/>
        <v/>
      </c>
    </row>
    <row r="33" spans="1:66" ht="8.25" customHeight="1">
      <c r="A33" s="1"/>
      <c r="B33" s="2"/>
      <c r="C33" s="258"/>
      <c r="D33" s="101"/>
      <c r="E33" s="4"/>
      <c r="F33" s="102"/>
      <c r="G33" s="2"/>
      <c r="H33" s="12"/>
      <c r="I33" s="12"/>
      <c r="J33" s="2"/>
      <c r="K33" s="12"/>
      <c r="L33" s="251"/>
      <c r="M33" s="259"/>
      <c r="N33" s="260"/>
      <c r="O33" s="2"/>
      <c r="P33" s="95"/>
      <c r="Q33" s="94"/>
      <c r="R33" s="2"/>
      <c r="S33" s="2"/>
      <c r="T33" s="2"/>
      <c r="U33" s="12"/>
      <c r="V33" s="13"/>
      <c r="W33" s="9"/>
      <c r="X33" s="4"/>
      <c r="Y33" s="11"/>
      <c r="Z33" s="12"/>
      <c r="AA33" s="12"/>
      <c r="AB33" s="12"/>
      <c r="AC33" s="12"/>
      <c r="AD33" s="12"/>
      <c r="AE33" s="12"/>
      <c r="AF33" s="12"/>
      <c r="AG33" s="12"/>
      <c r="AH33" s="103"/>
      <c r="AI33" s="102"/>
      <c r="AJ33" s="12"/>
      <c r="AK33" s="12"/>
      <c r="AL33" s="12"/>
      <c r="AM33" s="12"/>
      <c r="AN33" s="2"/>
      <c r="AO33" s="12"/>
      <c r="AP33" s="12"/>
      <c r="AQ33" s="12"/>
      <c r="AR33" s="13"/>
      <c r="AS33" s="11"/>
      <c r="AT33" s="12"/>
      <c r="AU33" s="4"/>
      <c r="AV33" s="102"/>
      <c r="AW33" s="16"/>
      <c r="AX33" s="2"/>
      <c r="AY33" s="2"/>
      <c r="AZ33" s="2"/>
      <c r="BA33" s="29"/>
      <c r="BB33" s="18"/>
      <c r="BC33" s="18" t="str">
        <f t="shared" si="9"/>
        <v/>
      </c>
      <c r="BD33" s="18" t="str">
        <f t="shared" si="10"/>
        <v/>
      </c>
      <c r="BE33" s="18" t="str">
        <f t="shared" si="11"/>
        <v/>
      </c>
      <c r="BF33" s="18"/>
      <c r="BG33" s="18"/>
      <c r="BH33" s="18"/>
      <c r="BI33" s="18" t="str">
        <f t="shared" si="12"/>
        <v/>
      </c>
      <c r="BJ33" s="18" t="str">
        <f t="shared" si="13"/>
        <v/>
      </c>
      <c r="BK33" s="18" t="str">
        <f t="shared" si="14"/>
        <v/>
      </c>
      <c r="BL33" s="18" t="str">
        <f t="shared" si="15"/>
        <v/>
      </c>
      <c r="BM33" s="18" t="str">
        <f t="shared" si="16"/>
        <v/>
      </c>
      <c r="BN33" s="18" t="str">
        <f t="shared" si="17"/>
        <v/>
      </c>
    </row>
    <row r="34" spans="1:66" ht="8.25" customHeight="1">
      <c r="A34" s="1"/>
      <c r="B34" s="2"/>
      <c r="C34" s="258"/>
      <c r="D34" s="101"/>
      <c r="E34" s="4"/>
      <c r="F34" s="102"/>
      <c r="G34" s="2"/>
      <c r="H34" s="12"/>
      <c r="I34" s="12"/>
      <c r="J34" s="2"/>
      <c r="K34" s="12"/>
      <c r="L34" s="251"/>
      <c r="M34" s="259"/>
      <c r="N34" s="260"/>
      <c r="O34" s="2"/>
      <c r="P34" s="95"/>
      <c r="Q34" s="94"/>
      <c r="R34" s="2"/>
      <c r="S34" s="2"/>
      <c r="T34" s="2"/>
      <c r="U34" s="12"/>
      <c r="V34" s="13"/>
      <c r="W34" s="9"/>
      <c r="X34" s="4"/>
      <c r="Y34" s="11"/>
      <c r="Z34" s="12"/>
      <c r="AA34" s="12"/>
      <c r="AB34" s="12"/>
      <c r="AC34" s="12"/>
      <c r="AD34" s="12"/>
      <c r="AE34" s="12"/>
      <c r="AF34" s="12"/>
      <c r="AG34" s="12"/>
      <c r="AH34" s="103"/>
      <c r="AI34" s="102"/>
      <c r="AJ34" s="12"/>
      <c r="AK34" s="12"/>
      <c r="AL34" s="12"/>
      <c r="AM34" s="12"/>
      <c r="AN34" s="2"/>
      <c r="AO34" s="12"/>
      <c r="AP34" s="12"/>
      <c r="AQ34" s="12"/>
      <c r="AR34" s="13"/>
      <c r="AS34" s="11"/>
      <c r="AT34" s="12"/>
      <c r="AU34" s="4"/>
      <c r="AV34" s="102"/>
      <c r="AW34" s="16"/>
      <c r="AX34" s="2"/>
      <c r="AY34" s="2"/>
      <c r="AZ34" s="2"/>
      <c r="BA34" s="29"/>
      <c r="BB34" s="18"/>
      <c r="BC34" s="18" t="str">
        <f t="shared" si="9"/>
        <v/>
      </c>
      <c r="BD34" s="18" t="str">
        <f t="shared" si="10"/>
        <v/>
      </c>
      <c r="BE34" s="18" t="str">
        <f t="shared" si="11"/>
        <v/>
      </c>
      <c r="BF34" s="18"/>
      <c r="BG34" s="18"/>
      <c r="BH34" s="18"/>
      <c r="BI34" s="18" t="str">
        <f t="shared" si="12"/>
        <v/>
      </c>
      <c r="BJ34" s="18" t="str">
        <f t="shared" si="13"/>
        <v/>
      </c>
      <c r="BK34" s="18" t="str">
        <f t="shared" si="14"/>
        <v/>
      </c>
      <c r="BL34" s="18" t="str">
        <f t="shared" si="15"/>
        <v/>
      </c>
      <c r="BM34" s="18" t="str">
        <f t="shared" si="16"/>
        <v/>
      </c>
      <c r="BN34" s="18" t="str">
        <f t="shared" si="17"/>
        <v/>
      </c>
    </row>
    <row r="35" spans="1:66" ht="8.25" customHeight="1">
      <c r="A35" s="1"/>
      <c r="B35" s="2"/>
      <c r="C35" s="258"/>
      <c r="D35" s="101"/>
      <c r="E35" s="4"/>
      <c r="F35" s="102"/>
      <c r="G35" s="2"/>
      <c r="H35" s="12"/>
      <c r="I35" s="12"/>
      <c r="J35" s="2"/>
      <c r="K35" s="12"/>
      <c r="L35" s="251"/>
      <c r="M35" s="259"/>
      <c r="N35" s="260"/>
      <c r="O35" s="2"/>
      <c r="P35" s="95"/>
      <c r="Q35" s="94"/>
      <c r="R35" s="2"/>
      <c r="S35" s="2"/>
      <c r="T35" s="2"/>
      <c r="U35" s="12"/>
      <c r="V35" s="13"/>
      <c r="W35" s="9"/>
      <c r="X35" s="4"/>
      <c r="Y35" s="11"/>
      <c r="Z35" s="12"/>
      <c r="AA35" s="12"/>
      <c r="AB35" s="12"/>
      <c r="AC35" s="12"/>
      <c r="AD35" s="12"/>
      <c r="AE35" s="12"/>
      <c r="AF35" s="12"/>
      <c r="AG35" s="12"/>
      <c r="AH35" s="103"/>
      <c r="AI35" s="102"/>
      <c r="AJ35" s="12"/>
      <c r="AK35" s="12"/>
      <c r="AL35" s="12"/>
      <c r="AM35" s="12"/>
      <c r="AN35" s="2"/>
      <c r="AO35" s="12"/>
      <c r="AP35" s="12"/>
      <c r="AQ35" s="12"/>
      <c r="AR35" s="13"/>
      <c r="AS35" s="11"/>
      <c r="AT35" s="12"/>
      <c r="AU35" s="4"/>
      <c r="AV35" s="102"/>
      <c r="AW35" s="16"/>
      <c r="AX35" s="2"/>
      <c r="AY35" s="2"/>
      <c r="AZ35" s="2"/>
      <c r="BA35" s="29"/>
      <c r="BB35" s="18"/>
      <c r="BC35" s="18" t="str">
        <f t="shared" si="9"/>
        <v/>
      </c>
      <c r="BD35" s="18" t="str">
        <f t="shared" si="10"/>
        <v/>
      </c>
      <c r="BE35" s="18" t="str">
        <f t="shared" si="11"/>
        <v/>
      </c>
      <c r="BF35" s="18"/>
      <c r="BG35" s="18"/>
      <c r="BH35" s="18"/>
      <c r="BI35" s="18" t="str">
        <f t="shared" si="12"/>
        <v/>
      </c>
      <c r="BJ35" s="18" t="str">
        <f t="shared" si="13"/>
        <v/>
      </c>
      <c r="BK35" s="18" t="str">
        <f t="shared" si="14"/>
        <v/>
      </c>
      <c r="BL35" s="18" t="str">
        <f t="shared" si="15"/>
        <v/>
      </c>
      <c r="BM35" s="18" t="str">
        <f t="shared" si="16"/>
        <v/>
      </c>
      <c r="BN35" s="18" t="str">
        <f t="shared" si="17"/>
        <v/>
      </c>
    </row>
    <row r="36" spans="1:66" ht="8.25" customHeight="1">
      <c r="A36" s="1"/>
      <c r="B36" s="2"/>
      <c r="C36" s="258"/>
      <c r="D36" s="101"/>
      <c r="E36" s="4"/>
      <c r="F36" s="102"/>
      <c r="G36" s="2"/>
      <c r="H36" s="12"/>
      <c r="I36" s="12"/>
      <c r="J36" s="2"/>
      <c r="K36" s="12"/>
      <c r="L36" s="251"/>
      <c r="M36" s="259"/>
      <c r="N36" s="260"/>
      <c r="O36" s="2"/>
      <c r="P36" s="95"/>
      <c r="Q36" s="94"/>
      <c r="R36" s="2"/>
      <c r="S36" s="2"/>
      <c r="T36" s="2"/>
      <c r="U36" s="12"/>
      <c r="V36" s="13"/>
      <c r="W36" s="9"/>
      <c r="X36" s="4"/>
      <c r="Y36" s="11"/>
      <c r="Z36" s="12"/>
      <c r="AA36" s="12"/>
      <c r="AB36" s="12"/>
      <c r="AC36" s="12"/>
      <c r="AD36" s="12"/>
      <c r="AE36" s="12"/>
      <c r="AF36" s="12"/>
      <c r="AG36" s="12"/>
      <c r="AH36" s="103"/>
      <c r="AI36" s="102"/>
      <c r="AJ36" s="12"/>
      <c r="AK36" s="12"/>
      <c r="AL36" s="12"/>
      <c r="AM36" s="12"/>
      <c r="AN36" s="2"/>
      <c r="AO36" s="12"/>
      <c r="AP36" s="12"/>
      <c r="AQ36" s="12"/>
      <c r="AR36" s="13"/>
      <c r="AS36" s="11"/>
      <c r="AT36" s="12"/>
      <c r="AU36" s="4"/>
      <c r="AV36" s="102"/>
      <c r="AW36" s="16"/>
      <c r="AX36" s="2"/>
      <c r="AY36" s="2"/>
      <c r="AZ36" s="2"/>
      <c r="BA36" s="29"/>
      <c r="BB36" s="18"/>
      <c r="BC36" s="18" t="str">
        <f t="shared" si="9"/>
        <v/>
      </c>
      <c r="BD36" s="18" t="str">
        <f t="shared" si="10"/>
        <v/>
      </c>
      <c r="BE36" s="18" t="str">
        <f t="shared" si="11"/>
        <v/>
      </c>
      <c r="BF36" s="18"/>
      <c r="BG36" s="18"/>
      <c r="BH36" s="18"/>
      <c r="BI36" s="18" t="str">
        <f t="shared" si="12"/>
        <v/>
      </c>
      <c r="BJ36" s="18" t="str">
        <f t="shared" si="13"/>
        <v/>
      </c>
      <c r="BK36" s="18" t="str">
        <f t="shared" si="14"/>
        <v/>
      </c>
      <c r="BL36" s="18" t="str">
        <f t="shared" si="15"/>
        <v/>
      </c>
      <c r="BM36" s="18" t="str">
        <f t="shared" si="16"/>
        <v/>
      </c>
      <c r="BN36" s="18" t="str">
        <f t="shared" si="17"/>
        <v/>
      </c>
    </row>
    <row r="37" spans="1:66" ht="8.25" customHeight="1">
      <c r="A37" s="1"/>
      <c r="B37" s="2"/>
      <c r="C37" s="258"/>
      <c r="D37" s="101"/>
      <c r="E37" s="4"/>
      <c r="F37" s="102"/>
      <c r="G37" s="2"/>
      <c r="H37" s="12"/>
      <c r="I37" s="12"/>
      <c r="J37" s="2"/>
      <c r="K37" s="12"/>
      <c r="L37" s="251"/>
      <c r="M37" s="259"/>
      <c r="N37" s="260"/>
      <c r="O37" s="2"/>
      <c r="P37" s="95"/>
      <c r="Q37" s="94"/>
      <c r="R37" s="2"/>
      <c r="S37" s="2"/>
      <c r="T37" s="2"/>
      <c r="U37" s="12"/>
      <c r="V37" s="13"/>
      <c r="W37" s="9"/>
      <c r="X37" s="4"/>
      <c r="Y37" s="11"/>
      <c r="Z37" s="12"/>
      <c r="AA37" s="12"/>
      <c r="AB37" s="12"/>
      <c r="AC37" s="12"/>
      <c r="AD37" s="12"/>
      <c r="AE37" s="12"/>
      <c r="AF37" s="12"/>
      <c r="AG37" s="12"/>
      <c r="AH37" s="103"/>
      <c r="AI37" s="102"/>
      <c r="AJ37" s="12"/>
      <c r="AK37" s="12"/>
      <c r="AL37" s="12"/>
      <c r="AM37" s="12"/>
      <c r="AN37" s="2"/>
      <c r="AO37" s="12"/>
      <c r="AP37" s="12"/>
      <c r="AQ37" s="12"/>
      <c r="AR37" s="13"/>
      <c r="AS37" s="11"/>
      <c r="AT37" s="12"/>
      <c r="AU37" s="4"/>
      <c r="AV37" s="102"/>
      <c r="AW37" s="16"/>
      <c r="AX37" s="2"/>
      <c r="AY37" s="2"/>
      <c r="AZ37" s="2"/>
      <c r="BA37" s="29"/>
      <c r="BB37" s="18"/>
      <c r="BC37" s="18" t="str">
        <f t="shared" si="9"/>
        <v/>
      </c>
      <c r="BD37" s="18" t="str">
        <f t="shared" si="10"/>
        <v/>
      </c>
      <c r="BE37" s="18" t="str">
        <f t="shared" si="11"/>
        <v/>
      </c>
      <c r="BF37" s="18"/>
      <c r="BG37" s="18"/>
      <c r="BH37" s="18"/>
      <c r="BI37" s="18" t="str">
        <f t="shared" si="12"/>
        <v/>
      </c>
      <c r="BJ37" s="18" t="str">
        <f t="shared" si="13"/>
        <v/>
      </c>
      <c r="BK37" s="18" t="str">
        <f t="shared" si="14"/>
        <v/>
      </c>
      <c r="BL37" s="18" t="str">
        <f t="shared" si="15"/>
        <v/>
      </c>
      <c r="BM37" s="18" t="str">
        <f t="shared" si="16"/>
        <v/>
      </c>
      <c r="BN37" s="18" t="str">
        <f t="shared" si="17"/>
        <v/>
      </c>
    </row>
    <row r="38" spans="1:66" ht="8.25" customHeight="1">
      <c r="A38" s="1"/>
      <c r="B38" s="2"/>
      <c r="C38" s="258"/>
      <c r="D38" s="101"/>
      <c r="E38" s="4"/>
      <c r="F38" s="102"/>
      <c r="G38" s="2"/>
      <c r="H38" s="12"/>
      <c r="I38" s="12"/>
      <c r="J38" s="2"/>
      <c r="K38" s="12"/>
      <c r="L38" s="251"/>
      <c r="M38" s="259"/>
      <c r="N38" s="260"/>
      <c r="O38" s="2"/>
      <c r="P38" s="95"/>
      <c r="Q38" s="94"/>
      <c r="R38" s="2"/>
      <c r="S38" s="2"/>
      <c r="T38" s="2"/>
      <c r="U38" s="12"/>
      <c r="V38" s="13"/>
      <c r="W38" s="9"/>
      <c r="X38" s="4"/>
      <c r="Y38" s="11"/>
      <c r="Z38" s="12"/>
      <c r="AA38" s="12"/>
      <c r="AB38" s="12"/>
      <c r="AC38" s="12"/>
      <c r="AD38" s="12"/>
      <c r="AE38" s="12"/>
      <c r="AF38" s="12"/>
      <c r="AG38" s="12"/>
      <c r="AH38" s="103"/>
      <c r="AI38" s="102"/>
      <c r="AJ38" s="12"/>
      <c r="AK38" s="12"/>
      <c r="AL38" s="12"/>
      <c r="AM38" s="12"/>
      <c r="AN38" s="2"/>
      <c r="AO38" s="12"/>
      <c r="AP38" s="12"/>
      <c r="AQ38" s="12"/>
      <c r="AR38" s="13"/>
      <c r="AS38" s="11"/>
      <c r="AT38" s="12"/>
      <c r="AU38" s="4"/>
      <c r="AV38" s="102"/>
      <c r="AW38" s="16"/>
      <c r="AX38" s="2"/>
      <c r="AY38" s="2"/>
      <c r="AZ38" s="2"/>
      <c r="BA38" s="29"/>
      <c r="BB38" s="18"/>
      <c r="BC38" s="18" t="str">
        <f t="shared" si="9"/>
        <v/>
      </c>
      <c r="BD38" s="18" t="str">
        <f t="shared" si="10"/>
        <v/>
      </c>
      <c r="BE38" s="18" t="str">
        <f t="shared" si="11"/>
        <v/>
      </c>
      <c r="BF38" s="18"/>
      <c r="BG38" s="18"/>
      <c r="BH38" s="18"/>
      <c r="BI38" s="18" t="str">
        <f t="shared" si="12"/>
        <v/>
      </c>
      <c r="BJ38" s="18" t="str">
        <f t="shared" si="13"/>
        <v/>
      </c>
      <c r="BK38" s="18" t="str">
        <f t="shared" si="14"/>
        <v/>
      </c>
      <c r="BL38" s="18" t="str">
        <f t="shared" si="15"/>
        <v/>
      </c>
      <c r="BM38" s="18" t="str">
        <f t="shared" si="16"/>
        <v/>
      </c>
      <c r="BN38" s="18" t="str">
        <f t="shared" si="17"/>
        <v/>
      </c>
    </row>
    <row r="39" spans="1:66" ht="8.25" customHeight="1">
      <c r="A39" s="1"/>
      <c r="B39" s="2"/>
      <c r="C39" s="258"/>
      <c r="D39" s="101"/>
      <c r="E39" s="4"/>
      <c r="F39" s="102"/>
      <c r="G39" s="2"/>
      <c r="H39" s="12"/>
      <c r="I39" s="12"/>
      <c r="J39" s="2"/>
      <c r="K39" s="12"/>
      <c r="L39" s="251"/>
      <c r="M39" s="259"/>
      <c r="N39" s="260"/>
      <c r="O39" s="2"/>
      <c r="P39" s="95"/>
      <c r="Q39" s="94"/>
      <c r="R39" s="2"/>
      <c r="S39" s="2"/>
      <c r="T39" s="2"/>
      <c r="U39" s="12"/>
      <c r="V39" s="13"/>
      <c r="W39" s="9"/>
      <c r="X39" s="4"/>
      <c r="Y39" s="11"/>
      <c r="Z39" s="12"/>
      <c r="AA39" s="12"/>
      <c r="AB39" s="12"/>
      <c r="AC39" s="12"/>
      <c r="AD39" s="12"/>
      <c r="AE39" s="12"/>
      <c r="AF39" s="12"/>
      <c r="AG39" s="12"/>
      <c r="AH39" s="103"/>
      <c r="AI39" s="102"/>
      <c r="AJ39" s="12"/>
      <c r="AK39" s="12"/>
      <c r="AL39" s="12"/>
      <c r="AM39" s="12"/>
      <c r="AN39" s="2"/>
      <c r="AO39" s="12"/>
      <c r="AP39" s="12"/>
      <c r="AQ39" s="12"/>
      <c r="AR39" s="13"/>
      <c r="AS39" s="11"/>
      <c r="AT39" s="12"/>
      <c r="AU39" s="4"/>
      <c r="AV39" s="102"/>
      <c r="AW39" s="16"/>
      <c r="AX39" s="2"/>
      <c r="AY39" s="2"/>
      <c r="AZ39" s="2"/>
      <c r="BA39" s="29"/>
      <c r="BB39" s="18"/>
      <c r="BC39" s="18" t="str">
        <f t="shared" si="9"/>
        <v/>
      </c>
      <c r="BD39" s="18" t="str">
        <f t="shared" si="10"/>
        <v/>
      </c>
      <c r="BE39" s="18" t="str">
        <f t="shared" si="11"/>
        <v/>
      </c>
      <c r="BF39" s="18"/>
      <c r="BG39" s="18"/>
      <c r="BH39" s="18"/>
      <c r="BI39" s="18" t="str">
        <f t="shared" si="12"/>
        <v/>
      </c>
      <c r="BJ39" s="18" t="str">
        <f t="shared" si="13"/>
        <v/>
      </c>
      <c r="BK39" s="18" t="str">
        <f t="shared" si="14"/>
        <v/>
      </c>
      <c r="BL39" s="18" t="str">
        <f t="shared" si="15"/>
        <v/>
      </c>
      <c r="BM39" s="18" t="str">
        <f t="shared" si="16"/>
        <v/>
      </c>
      <c r="BN39" s="18" t="str">
        <f t="shared" si="17"/>
        <v/>
      </c>
    </row>
    <row r="40" spans="1:66" ht="8.25" customHeight="1">
      <c r="A40" s="1"/>
      <c r="B40" s="2"/>
      <c r="C40" s="258"/>
      <c r="D40" s="101"/>
      <c r="E40" s="4"/>
      <c r="F40" s="102"/>
      <c r="G40" s="2"/>
      <c r="H40" s="12"/>
      <c r="I40" s="12"/>
      <c r="J40" s="2"/>
      <c r="K40" s="12"/>
      <c r="L40" s="251"/>
      <c r="M40" s="259"/>
      <c r="N40" s="260"/>
      <c r="O40" s="2"/>
      <c r="P40" s="95"/>
      <c r="Q40" s="94"/>
      <c r="R40" s="2"/>
      <c r="S40" s="2"/>
      <c r="T40" s="2"/>
      <c r="U40" s="12"/>
      <c r="V40" s="13"/>
      <c r="W40" s="9"/>
      <c r="X40" s="4"/>
      <c r="Y40" s="11"/>
      <c r="Z40" s="12"/>
      <c r="AA40" s="12"/>
      <c r="AB40" s="12"/>
      <c r="AC40" s="12"/>
      <c r="AD40" s="12"/>
      <c r="AE40" s="12"/>
      <c r="AF40" s="12"/>
      <c r="AG40" s="12"/>
      <c r="AH40" s="103"/>
      <c r="AI40" s="102"/>
      <c r="AJ40" s="12"/>
      <c r="AK40" s="12"/>
      <c r="AL40" s="12"/>
      <c r="AM40" s="12"/>
      <c r="AN40" s="2"/>
      <c r="AO40" s="12"/>
      <c r="AP40" s="12"/>
      <c r="AQ40" s="12"/>
      <c r="AR40" s="13"/>
      <c r="AS40" s="11"/>
      <c r="AT40" s="12"/>
      <c r="AU40" s="4"/>
      <c r="AV40" s="102"/>
      <c r="AW40" s="16"/>
      <c r="AX40" s="2"/>
      <c r="AY40" s="2"/>
      <c r="AZ40" s="2"/>
      <c r="BA40" s="29"/>
      <c r="BB40" s="18"/>
      <c r="BC40" s="18" t="str">
        <f t="shared" si="9"/>
        <v/>
      </c>
      <c r="BD40" s="18" t="str">
        <f t="shared" si="10"/>
        <v/>
      </c>
      <c r="BE40" s="18" t="str">
        <f t="shared" si="11"/>
        <v/>
      </c>
      <c r="BF40" s="18"/>
      <c r="BG40" s="18"/>
      <c r="BH40" s="18"/>
      <c r="BI40" s="18" t="str">
        <f t="shared" si="12"/>
        <v/>
      </c>
      <c r="BJ40" s="18" t="str">
        <f t="shared" si="13"/>
        <v/>
      </c>
      <c r="BK40" s="18" t="str">
        <f t="shared" si="14"/>
        <v/>
      </c>
      <c r="BL40" s="18" t="str">
        <f t="shared" si="15"/>
        <v/>
      </c>
      <c r="BM40" s="18" t="str">
        <f t="shared" si="16"/>
        <v/>
      </c>
      <c r="BN40" s="18" t="str">
        <f t="shared" si="17"/>
        <v/>
      </c>
    </row>
    <row r="41" spans="1:66" ht="8.25" customHeight="1">
      <c r="A41" s="1"/>
      <c r="B41" s="2"/>
      <c r="C41" s="258"/>
      <c r="D41" s="101"/>
      <c r="E41" s="4"/>
      <c r="F41" s="102"/>
      <c r="G41" s="2"/>
      <c r="H41" s="12"/>
      <c r="I41" s="12"/>
      <c r="J41" s="2"/>
      <c r="K41" s="12"/>
      <c r="L41" s="251"/>
      <c r="M41" s="259"/>
      <c r="N41" s="260"/>
      <c r="O41" s="2"/>
      <c r="P41" s="95"/>
      <c r="Q41" s="94"/>
      <c r="R41" s="2"/>
      <c r="S41" s="2"/>
      <c r="T41" s="2"/>
      <c r="U41" s="12"/>
      <c r="V41" s="13"/>
      <c r="W41" s="9"/>
      <c r="X41" s="4"/>
      <c r="Y41" s="11"/>
      <c r="Z41" s="12"/>
      <c r="AA41" s="12"/>
      <c r="AB41" s="12"/>
      <c r="AC41" s="12"/>
      <c r="AD41" s="12"/>
      <c r="AE41" s="12"/>
      <c r="AF41" s="12"/>
      <c r="AG41" s="12"/>
      <c r="AH41" s="103"/>
      <c r="AI41" s="102"/>
      <c r="AJ41" s="12"/>
      <c r="AK41" s="12"/>
      <c r="AL41" s="12"/>
      <c r="AM41" s="12"/>
      <c r="AN41" s="2"/>
      <c r="AO41" s="12"/>
      <c r="AP41" s="12"/>
      <c r="AQ41" s="12"/>
      <c r="AR41" s="13"/>
      <c r="AS41" s="11"/>
      <c r="AT41" s="12"/>
      <c r="AU41" s="4"/>
      <c r="AV41" s="102"/>
      <c r="AW41" s="16"/>
      <c r="AX41" s="2"/>
      <c r="AY41" s="2"/>
      <c r="AZ41" s="2"/>
      <c r="BA41" s="29"/>
      <c r="BB41" s="18"/>
      <c r="BC41" s="18" t="str">
        <f t="shared" si="9"/>
        <v/>
      </c>
      <c r="BD41" s="18" t="str">
        <f t="shared" si="10"/>
        <v/>
      </c>
      <c r="BE41" s="18" t="str">
        <f t="shared" si="11"/>
        <v/>
      </c>
      <c r="BF41" s="18"/>
      <c r="BG41" s="18"/>
      <c r="BH41" s="18"/>
      <c r="BI41" s="18" t="str">
        <f t="shared" si="12"/>
        <v/>
      </c>
      <c r="BJ41" s="18" t="str">
        <f t="shared" si="13"/>
        <v/>
      </c>
      <c r="BK41" s="18" t="str">
        <f t="shared" si="14"/>
        <v/>
      </c>
      <c r="BL41" s="18" t="str">
        <f t="shared" si="15"/>
        <v/>
      </c>
      <c r="BM41" s="18" t="str">
        <f t="shared" si="16"/>
        <v/>
      </c>
      <c r="BN41" s="18" t="str">
        <f t="shared" si="17"/>
        <v/>
      </c>
    </row>
    <row r="42" spans="1:66" ht="8.25" customHeight="1">
      <c r="A42" s="1"/>
      <c r="B42" s="2"/>
      <c r="C42" s="258"/>
      <c r="D42" s="101"/>
      <c r="E42" s="4"/>
      <c r="F42" s="102"/>
      <c r="G42" s="2"/>
      <c r="H42" s="12"/>
      <c r="I42" s="12"/>
      <c r="J42" s="2"/>
      <c r="K42" s="12"/>
      <c r="L42" s="251"/>
      <c r="M42" s="259"/>
      <c r="N42" s="260"/>
      <c r="O42" s="2"/>
      <c r="P42" s="95"/>
      <c r="Q42" s="94"/>
      <c r="R42" s="2"/>
      <c r="S42" s="2"/>
      <c r="T42" s="2"/>
      <c r="U42" s="12"/>
      <c r="V42" s="13"/>
      <c r="W42" s="9"/>
      <c r="X42" s="4"/>
      <c r="Y42" s="11"/>
      <c r="Z42" s="12"/>
      <c r="AA42" s="12"/>
      <c r="AB42" s="12"/>
      <c r="AC42" s="12"/>
      <c r="AD42" s="12"/>
      <c r="AE42" s="12"/>
      <c r="AF42" s="12"/>
      <c r="AG42" s="12"/>
      <c r="AH42" s="103"/>
      <c r="AI42" s="102"/>
      <c r="AJ42" s="12"/>
      <c r="AK42" s="12"/>
      <c r="AL42" s="12"/>
      <c r="AM42" s="12"/>
      <c r="AN42" s="2"/>
      <c r="AO42" s="12"/>
      <c r="AP42" s="12"/>
      <c r="AQ42" s="12"/>
      <c r="AR42" s="13"/>
      <c r="AS42" s="11"/>
      <c r="AT42" s="12"/>
      <c r="AU42" s="4"/>
      <c r="AV42" s="102"/>
      <c r="AW42" s="16"/>
      <c r="AX42" s="2"/>
      <c r="AY42" s="2"/>
      <c r="AZ42" s="2"/>
      <c r="BA42" s="29"/>
      <c r="BB42" s="18"/>
      <c r="BC42" s="18" t="str">
        <f t="shared" si="9"/>
        <v/>
      </c>
      <c r="BD42" s="18" t="str">
        <f t="shared" si="10"/>
        <v/>
      </c>
      <c r="BE42" s="18" t="str">
        <f t="shared" si="11"/>
        <v/>
      </c>
      <c r="BF42" s="18"/>
      <c r="BG42" s="18"/>
      <c r="BH42" s="18"/>
      <c r="BI42" s="18" t="str">
        <f t="shared" si="12"/>
        <v/>
      </c>
      <c r="BJ42" s="18" t="str">
        <f t="shared" si="13"/>
        <v/>
      </c>
      <c r="BK42" s="18" t="str">
        <f t="shared" si="14"/>
        <v/>
      </c>
      <c r="BL42" s="18" t="str">
        <f t="shared" si="15"/>
        <v/>
      </c>
      <c r="BM42" s="18" t="str">
        <f t="shared" si="16"/>
        <v/>
      </c>
      <c r="BN42" s="18" t="str">
        <f t="shared" si="17"/>
        <v/>
      </c>
    </row>
    <row r="43" spans="1:66" ht="8.25" customHeight="1">
      <c r="A43" s="1"/>
      <c r="B43" s="2"/>
      <c r="C43" s="258"/>
      <c r="D43" s="101"/>
      <c r="E43" s="4"/>
      <c r="F43" s="102"/>
      <c r="G43" s="2"/>
      <c r="H43" s="12"/>
      <c r="I43" s="12"/>
      <c r="J43" s="2"/>
      <c r="K43" s="12"/>
      <c r="L43" s="251"/>
      <c r="M43" s="259"/>
      <c r="N43" s="260"/>
      <c r="O43" s="2"/>
      <c r="P43" s="95"/>
      <c r="Q43" s="94"/>
      <c r="R43" s="2"/>
      <c r="S43" s="2"/>
      <c r="T43" s="2"/>
      <c r="U43" s="12"/>
      <c r="V43" s="13"/>
      <c r="W43" s="9"/>
      <c r="X43" s="4"/>
      <c r="Y43" s="11"/>
      <c r="Z43" s="12"/>
      <c r="AA43" s="12"/>
      <c r="AB43" s="12"/>
      <c r="AC43" s="12"/>
      <c r="AD43" s="12"/>
      <c r="AE43" s="12"/>
      <c r="AF43" s="12"/>
      <c r="AG43" s="12"/>
      <c r="AH43" s="103"/>
      <c r="AI43" s="102"/>
      <c r="AJ43" s="12"/>
      <c r="AK43" s="12"/>
      <c r="AL43" s="12"/>
      <c r="AM43" s="12"/>
      <c r="AN43" s="2"/>
      <c r="AO43" s="12"/>
      <c r="AP43" s="12"/>
      <c r="AQ43" s="12"/>
      <c r="AR43" s="13"/>
      <c r="AS43" s="11"/>
      <c r="AT43" s="12"/>
      <c r="AU43" s="4"/>
      <c r="AV43" s="102"/>
      <c r="AW43" s="16"/>
      <c r="AX43" s="2"/>
      <c r="AY43" s="2"/>
      <c r="AZ43" s="2"/>
      <c r="BA43" s="29"/>
      <c r="BB43" s="18"/>
      <c r="BC43" s="18" t="str">
        <f t="shared" si="9"/>
        <v/>
      </c>
      <c r="BD43" s="18" t="str">
        <f t="shared" si="10"/>
        <v/>
      </c>
      <c r="BE43" s="18" t="str">
        <f t="shared" si="11"/>
        <v/>
      </c>
      <c r="BF43" s="18"/>
      <c r="BG43" s="18"/>
      <c r="BH43" s="18"/>
      <c r="BI43" s="18" t="str">
        <f t="shared" si="12"/>
        <v/>
      </c>
      <c r="BJ43" s="18" t="str">
        <f t="shared" si="13"/>
        <v/>
      </c>
      <c r="BK43" s="18" t="str">
        <f t="shared" si="14"/>
        <v/>
      </c>
      <c r="BL43" s="18" t="str">
        <f t="shared" si="15"/>
        <v/>
      </c>
      <c r="BM43" s="18" t="str">
        <f t="shared" si="16"/>
        <v/>
      </c>
      <c r="BN43" s="18" t="str">
        <f t="shared" si="17"/>
        <v/>
      </c>
    </row>
    <row r="44" spans="1:66" ht="8.25" customHeight="1">
      <c r="A44" s="1"/>
      <c r="B44" s="2"/>
      <c r="C44" s="258"/>
      <c r="D44" s="101"/>
      <c r="E44" s="4"/>
      <c r="F44" s="102"/>
      <c r="G44" s="2"/>
      <c r="H44" s="12"/>
      <c r="I44" s="12"/>
      <c r="J44" s="2"/>
      <c r="K44" s="12"/>
      <c r="L44" s="251"/>
      <c r="M44" s="259"/>
      <c r="N44" s="260"/>
      <c r="O44" s="2"/>
      <c r="P44" s="95"/>
      <c r="Q44" s="94"/>
      <c r="R44" s="2"/>
      <c r="S44" s="2"/>
      <c r="T44" s="2"/>
      <c r="U44" s="12"/>
      <c r="V44" s="13"/>
      <c r="W44" s="9"/>
      <c r="X44" s="4"/>
      <c r="Y44" s="11"/>
      <c r="Z44" s="12"/>
      <c r="AA44" s="12"/>
      <c r="AB44" s="12"/>
      <c r="AC44" s="12"/>
      <c r="AD44" s="12"/>
      <c r="AE44" s="12"/>
      <c r="AF44" s="12"/>
      <c r="AG44" s="12"/>
      <c r="AH44" s="103"/>
      <c r="AI44" s="102"/>
      <c r="AJ44" s="12"/>
      <c r="AK44" s="12"/>
      <c r="AL44" s="12"/>
      <c r="AM44" s="12"/>
      <c r="AN44" s="2"/>
      <c r="AO44" s="12"/>
      <c r="AP44" s="12"/>
      <c r="AQ44" s="12"/>
      <c r="AR44" s="13"/>
      <c r="AS44" s="11"/>
      <c r="AT44" s="12"/>
      <c r="AU44" s="4"/>
      <c r="AV44" s="102"/>
      <c r="AW44" s="16"/>
      <c r="AX44" s="2"/>
      <c r="AY44" s="2"/>
      <c r="AZ44" s="2"/>
      <c r="BA44" s="29"/>
      <c r="BB44" s="18"/>
      <c r="BC44" s="18" t="str">
        <f t="shared" si="9"/>
        <v/>
      </c>
      <c r="BD44" s="18" t="str">
        <f t="shared" si="10"/>
        <v/>
      </c>
      <c r="BE44" s="18" t="str">
        <f t="shared" si="11"/>
        <v/>
      </c>
      <c r="BF44" s="18"/>
      <c r="BG44" s="18"/>
      <c r="BH44" s="18"/>
      <c r="BI44" s="18" t="str">
        <f t="shared" si="12"/>
        <v/>
      </c>
      <c r="BJ44" s="18" t="str">
        <f t="shared" si="13"/>
        <v/>
      </c>
      <c r="BK44" s="18" t="str">
        <f t="shared" si="14"/>
        <v/>
      </c>
      <c r="BL44" s="18" t="str">
        <f t="shared" si="15"/>
        <v/>
      </c>
      <c r="BM44" s="18" t="str">
        <f t="shared" si="16"/>
        <v/>
      </c>
      <c r="BN44" s="18" t="str">
        <f t="shared" si="17"/>
        <v/>
      </c>
    </row>
    <row r="45" spans="1:66" ht="8.25" customHeight="1">
      <c r="A45" s="1"/>
      <c r="B45" s="2"/>
      <c r="C45" s="258"/>
      <c r="D45" s="101"/>
      <c r="E45" s="4"/>
      <c r="F45" s="102"/>
      <c r="G45" s="2"/>
      <c r="H45" s="12"/>
      <c r="I45" s="12"/>
      <c r="J45" s="2"/>
      <c r="K45" s="12"/>
      <c r="L45" s="251"/>
      <c r="M45" s="259"/>
      <c r="N45" s="260"/>
      <c r="O45" s="2"/>
      <c r="P45" s="95"/>
      <c r="Q45" s="94"/>
      <c r="R45" s="2"/>
      <c r="S45" s="2"/>
      <c r="T45" s="2"/>
      <c r="U45" s="12"/>
      <c r="V45" s="13"/>
      <c r="W45" s="9"/>
      <c r="X45" s="4"/>
      <c r="Y45" s="11"/>
      <c r="Z45" s="12"/>
      <c r="AA45" s="12"/>
      <c r="AB45" s="12"/>
      <c r="AC45" s="12"/>
      <c r="AD45" s="12"/>
      <c r="AE45" s="12"/>
      <c r="AF45" s="12"/>
      <c r="AG45" s="12"/>
      <c r="AH45" s="103"/>
      <c r="AI45" s="102"/>
      <c r="AJ45" s="12"/>
      <c r="AK45" s="12"/>
      <c r="AL45" s="12"/>
      <c r="AM45" s="12"/>
      <c r="AN45" s="2"/>
      <c r="AO45" s="12"/>
      <c r="AP45" s="12"/>
      <c r="AQ45" s="12"/>
      <c r="AR45" s="13"/>
      <c r="AS45" s="11"/>
      <c r="AT45" s="12"/>
      <c r="AU45" s="4"/>
      <c r="AV45" s="102"/>
      <c r="AW45" s="16"/>
      <c r="AX45" s="2"/>
      <c r="AY45" s="2"/>
      <c r="AZ45" s="2"/>
      <c r="BA45" s="29"/>
      <c r="BB45" s="18"/>
      <c r="BC45" s="18" t="str">
        <f t="shared" si="9"/>
        <v/>
      </c>
      <c r="BD45" s="18" t="str">
        <f t="shared" si="10"/>
        <v/>
      </c>
      <c r="BE45" s="18" t="str">
        <f t="shared" si="11"/>
        <v/>
      </c>
      <c r="BF45" s="18"/>
      <c r="BG45" s="18"/>
      <c r="BH45" s="18"/>
      <c r="BI45" s="18" t="str">
        <f t="shared" si="12"/>
        <v/>
      </c>
      <c r="BJ45" s="18" t="str">
        <f t="shared" si="13"/>
        <v/>
      </c>
      <c r="BK45" s="18" t="str">
        <f t="shared" si="14"/>
        <v/>
      </c>
      <c r="BL45" s="18" t="str">
        <f t="shared" si="15"/>
        <v/>
      </c>
      <c r="BM45" s="18" t="str">
        <f t="shared" si="16"/>
        <v/>
      </c>
      <c r="BN45" s="18" t="str">
        <f t="shared" si="17"/>
        <v/>
      </c>
    </row>
    <row r="46" spans="1:66" ht="8.25" customHeight="1">
      <c r="A46" s="1"/>
      <c r="B46" s="2"/>
      <c r="C46" s="3"/>
      <c r="D46" s="101"/>
      <c r="E46" s="4"/>
      <c r="F46" s="102"/>
      <c r="G46" s="2"/>
      <c r="H46" s="12"/>
      <c r="I46" s="12"/>
      <c r="J46" s="2"/>
      <c r="K46" s="12"/>
      <c r="L46" s="251"/>
      <c r="M46" s="259"/>
      <c r="N46" s="260"/>
      <c r="O46" s="2"/>
      <c r="P46" s="95"/>
      <c r="Q46" s="94"/>
      <c r="R46" s="2"/>
      <c r="S46" s="2"/>
      <c r="T46" s="2"/>
      <c r="U46" s="12"/>
      <c r="V46" s="13"/>
      <c r="W46" s="9"/>
      <c r="X46" s="4"/>
      <c r="Y46" s="11"/>
      <c r="Z46" s="12"/>
      <c r="AA46" s="12"/>
      <c r="AB46" s="12"/>
      <c r="AC46" s="12"/>
      <c r="AD46" s="12"/>
      <c r="AE46" s="12"/>
      <c r="AF46" s="12"/>
      <c r="AG46" s="12"/>
      <c r="AH46" s="103"/>
      <c r="AI46" s="102"/>
      <c r="AJ46" s="12"/>
      <c r="AK46" s="12"/>
      <c r="AL46" s="12"/>
      <c r="AM46" s="12"/>
      <c r="AN46" s="2"/>
      <c r="AO46" s="12"/>
      <c r="AP46" s="12"/>
      <c r="AQ46" s="12"/>
      <c r="AR46" s="13"/>
      <c r="AS46" s="11"/>
      <c r="AT46" s="12"/>
      <c r="AU46" s="4"/>
      <c r="AV46" s="102"/>
      <c r="AW46" s="16"/>
      <c r="AX46" s="2"/>
      <c r="AY46" s="2"/>
      <c r="AZ46" s="2"/>
      <c r="BA46" s="29"/>
      <c r="BB46" s="18"/>
      <c r="BC46" s="18" t="str">
        <f t="shared" si="9"/>
        <v/>
      </c>
      <c r="BD46" s="18" t="str">
        <f t="shared" si="10"/>
        <v/>
      </c>
      <c r="BE46" s="18" t="str">
        <f t="shared" si="11"/>
        <v/>
      </c>
      <c r="BF46" s="18"/>
      <c r="BG46" s="18"/>
      <c r="BH46" s="18"/>
      <c r="BI46" s="18" t="str">
        <f t="shared" si="12"/>
        <v/>
      </c>
      <c r="BJ46" s="18" t="str">
        <f t="shared" si="13"/>
        <v/>
      </c>
      <c r="BK46" s="18" t="str">
        <f t="shared" si="14"/>
        <v/>
      </c>
      <c r="BL46" s="18" t="str">
        <f t="shared" si="15"/>
        <v/>
      </c>
      <c r="BM46" s="18" t="str">
        <f t="shared" si="16"/>
        <v/>
      </c>
      <c r="BN46" s="18" t="str">
        <f t="shared" si="17"/>
        <v/>
      </c>
    </row>
    <row r="47" spans="1:66" ht="8.25" customHeight="1" thickBot="1">
      <c r="A47" s="31"/>
      <c r="B47" s="39"/>
      <c r="C47" s="40"/>
      <c r="D47" s="34"/>
      <c r="E47" s="105"/>
      <c r="F47" s="106"/>
      <c r="G47" s="32"/>
      <c r="H47" s="39"/>
      <c r="I47" s="39"/>
      <c r="J47" s="32"/>
      <c r="K47" s="39"/>
      <c r="L47" s="38"/>
      <c r="M47" s="261"/>
      <c r="N47" s="262"/>
      <c r="O47" s="32"/>
      <c r="P47" s="37"/>
      <c r="Q47" s="108"/>
      <c r="R47" s="39"/>
      <c r="S47" s="39"/>
      <c r="T47" s="39"/>
      <c r="U47" s="32"/>
      <c r="V47" s="40"/>
      <c r="W47" s="41"/>
      <c r="X47" s="42"/>
      <c r="Y47" s="43"/>
      <c r="Z47" s="39"/>
      <c r="AA47" s="39"/>
      <c r="AB47" s="39"/>
      <c r="AC47" s="39"/>
      <c r="AD47" s="39"/>
      <c r="AE47" s="39"/>
      <c r="AF47" s="39"/>
      <c r="AG47" s="39"/>
      <c r="AH47" s="105"/>
      <c r="AI47" s="106"/>
      <c r="AJ47" s="39"/>
      <c r="AK47" s="39"/>
      <c r="AL47" s="39"/>
      <c r="AM47" s="39"/>
      <c r="AN47" s="39"/>
      <c r="AO47" s="39"/>
      <c r="AP47" s="39"/>
      <c r="AQ47" s="39"/>
      <c r="AR47" s="40"/>
      <c r="AS47" s="43"/>
      <c r="AT47" s="39"/>
      <c r="AU47" s="35"/>
      <c r="AV47" s="106"/>
      <c r="AW47" s="32"/>
      <c r="AX47" s="32"/>
      <c r="AY47" s="32"/>
      <c r="AZ47" s="37"/>
      <c r="BA47" s="44"/>
      <c r="BB47" s="18"/>
      <c r="BC47" s="18" t="str">
        <f t="shared" si="9"/>
        <v/>
      </c>
      <c r="BD47" s="18" t="str">
        <f t="shared" si="10"/>
        <v/>
      </c>
      <c r="BE47" s="18" t="str">
        <f t="shared" si="11"/>
        <v/>
      </c>
      <c r="BF47" s="18"/>
      <c r="BG47" s="18"/>
      <c r="BH47" s="18"/>
      <c r="BI47" s="18" t="str">
        <f t="shared" si="12"/>
        <v/>
      </c>
      <c r="BJ47" s="18" t="str">
        <f t="shared" si="13"/>
        <v/>
      </c>
      <c r="BK47" s="18" t="str">
        <f t="shared" si="14"/>
        <v/>
      </c>
      <c r="BL47" s="18" t="str">
        <f t="shared" si="15"/>
        <v/>
      </c>
      <c r="BM47" s="18" t="str">
        <f t="shared" si="16"/>
        <v/>
      </c>
      <c r="BN47" s="18" t="str">
        <f t="shared" si="17"/>
        <v/>
      </c>
    </row>
    <row r="48" spans="1:66" ht="9" customHeight="1" thickBot="1">
      <c r="A48" s="149"/>
      <c r="B48" s="150"/>
      <c r="C48" s="18"/>
      <c r="D48" s="149"/>
      <c r="E48" s="149"/>
      <c r="F48" s="151"/>
      <c r="G48" s="152"/>
      <c r="H48" s="151"/>
      <c r="I48" s="149"/>
      <c r="J48" s="153"/>
      <c r="K48" s="149"/>
      <c r="L48" s="403"/>
      <c r="M48" s="404"/>
      <c r="N48" s="404"/>
      <c r="O48" s="78"/>
      <c r="P48" s="149"/>
      <c r="Q48" s="149"/>
      <c r="R48" s="149"/>
      <c r="S48" s="149"/>
      <c r="T48" s="149"/>
      <c r="U48" s="151"/>
      <c r="V48" s="149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8"/>
      <c r="BD48" s="18"/>
      <c r="BE48" s="18"/>
      <c r="BF48" s="151"/>
      <c r="BG48" s="151"/>
      <c r="BH48" s="151"/>
      <c r="BI48" s="18"/>
      <c r="BJ48" s="18"/>
      <c r="BK48" s="18"/>
      <c r="BL48" s="18"/>
      <c r="BM48" s="18"/>
      <c r="BN48" s="18"/>
    </row>
    <row r="49" spans="1:66" ht="8.25" customHeight="1">
      <c r="A49" s="149"/>
      <c r="B49" s="150"/>
      <c r="C49" s="149"/>
      <c r="D49" s="149"/>
      <c r="E49" s="149"/>
      <c r="F49" s="151"/>
      <c r="G49" s="152"/>
      <c r="H49" s="151"/>
      <c r="I49" s="149"/>
      <c r="J49" s="153"/>
      <c r="K49" s="149"/>
      <c r="L49" s="403"/>
      <c r="M49" s="404"/>
      <c r="N49" s="404"/>
      <c r="O49" s="78"/>
      <c r="P49" s="149"/>
      <c r="Q49" s="149"/>
      <c r="R49" s="149"/>
      <c r="S49" s="149"/>
      <c r="T49" s="149"/>
      <c r="U49" s="151"/>
      <c r="V49" s="149"/>
      <c r="W49" s="151"/>
      <c r="X49" s="144" t="s">
        <v>59</v>
      </c>
      <c r="Y49" s="45">
        <f>AVERAGE(Y$5:Y47)</f>
        <v>0</v>
      </c>
      <c r="Z49" s="45">
        <f>AVERAGE(Z$5:Z47)</f>
        <v>0</v>
      </c>
      <c r="AA49" s="45">
        <f>AVERAGE(AA$5:AA47)</f>
        <v>0</v>
      </c>
      <c r="AB49" s="45">
        <f>AVERAGE(AB$5:AB47)</f>
        <v>0</v>
      </c>
      <c r="AC49" s="45">
        <f>AVERAGE(AC$5:AC47)</f>
        <v>0</v>
      </c>
      <c r="AD49" s="45">
        <f>AVERAGE(AD$5:AD47)</f>
        <v>0</v>
      </c>
      <c r="AE49" s="45" t="s">
        <v>57</v>
      </c>
      <c r="AF49" s="45" t="s">
        <v>57</v>
      </c>
      <c r="AG49" s="45">
        <f>AVERAGE(AG$5:AG47)</f>
        <v>0</v>
      </c>
      <c r="AH49" s="45">
        <f>AVERAGE(AH$5:AH47)</f>
        <v>0</v>
      </c>
      <c r="AI49" s="45">
        <f>AVERAGE(AI$5:AI47)</f>
        <v>0</v>
      </c>
      <c r="AJ49" s="45">
        <f>AVERAGE(AJ$5:AJ47)</f>
        <v>0</v>
      </c>
      <c r="AK49" s="45">
        <f>AVERAGE(AK$5:AK47)</f>
        <v>0</v>
      </c>
      <c r="AL49" s="45">
        <f>AVERAGE(AL$5:AL47)</f>
        <v>0</v>
      </c>
      <c r="AM49" s="45">
        <f>AVERAGE(AM$5:AM47)</f>
        <v>0</v>
      </c>
      <c r="AN49" s="45">
        <f>AVERAGE(AN$5:AN47)</f>
        <v>0</v>
      </c>
      <c r="AO49" s="45" t="s">
        <v>57</v>
      </c>
      <c r="AP49" s="45" t="s">
        <v>57</v>
      </c>
      <c r="AQ49" s="45">
        <f>AVERAGE(AQ$5:AQ47)</f>
        <v>0</v>
      </c>
      <c r="AR49" s="46">
        <f>AVERAGE(AR$5:AR47)</f>
        <v>0</v>
      </c>
      <c r="AS49" s="154"/>
      <c r="AT49" s="151"/>
      <c r="AU49" s="151"/>
      <c r="AV49" s="47" t="s">
        <v>60</v>
      </c>
      <c r="AW49" s="45" t="s">
        <v>61</v>
      </c>
      <c r="AX49" s="45" t="s">
        <v>62</v>
      </c>
      <c r="AY49" s="46" t="s">
        <v>41</v>
      </c>
      <c r="AZ49" s="151"/>
      <c r="BA49" s="151"/>
      <c r="BB49" s="151"/>
      <c r="BC49" s="155">
        <f t="shared" ref="BC49:BN49" si="18">SUM(BC5:BC47)</f>
        <v>33000</v>
      </c>
      <c r="BD49" s="155">
        <f t="shared" si="18"/>
        <v>66</v>
      </c>
      <c r="BE49" s="155">
        <f t="shared" si="18"/>
        <v>0</v>
      </c>
      <c r="BF49" s="155">
        <f t="shared" si="18"/>
        <v>0</v>
      </c>
      <c r="BG49" s="155">
        <f t="shared" si="18"/>
        <v>0</v>
      </c>
      <c r="BH49" s="155">
        <f t="shared" si="18"/>
        <v>0</v>
      </c>
      <c r="BI49" s="155">
        <f t="shared" si="18"/>
        <v>66000</v>
      </c>
      <c r="BJ49" s="155">
        <f t="shared" si="18"/>
        <v>66</v>
      </c>
      <c r="BK49" s="155">
        <f t="shared" si="18"/>
        <v>0</v>
      </c>
      <c r="BL49" s="155">
        <f t="shared" si="18"/>
        <v>4224</v>
      </c>
      <c r="BM49" s="155">
        <f t="shared" si="18"/>
        <v>44</v>
      </c>
      <c r="BN49" s="155">
        <f t="shared" si="18"/>
        <v>0</v>
      </c>
    </row>
    <row r="50" spans="1:66" ht="8.25" customHeight="1">
      <c r="A50" s="149"/>
      <c r="B50" s="150"/>
      <c r="C50" s="149"/>
      <c r="D50" s="149"/>
      <c r="E50" s="149"/>
      <c r="F50" s="151"/>
      <c r="G50" s="152"/>
      <c r="H50" s="151"/>
      <c r="I50" s="149"/>
      <c r="J50" s="153"/>
      <c r="K50" s="149"/>
      <c r="L50" s="403"/>
      <c r="M50" s="404"/>
      <c r="N50" s="404"/>
      <c r="O50" s="78"/>
      <c r="P50" s="149"/>
      <c r="Q50" s="149"/>
      <c r="R50" s="149"/>
      <c r="S50" s="149"/>
      <c r="T50" s="149"/>
      <c r="U50" s="151"/>
      <c r="V50" s="149"/>
      <c r="W50" s="151"/>
      <c r="X50" s="145" t="s">
        <v>63</v>
      </c>
      <c r="Y50" s="2">
        <f>MIN(Y$5:Y47)</f>
        <v>0</v>
      </c>
      <c r="Z50" s="2">
        <f>MIN(Z$5:Z47)</f>
        <v>0</v>
      </c>
      <c r="AA50" s="2">
        <f>MIN(AA$5:AA47)</f>
        <v>0</v>
      </c>
      <c r="AB50" s="2">
        <f>MIN(AB$5:AB47)</f>
        <v>0</v>
      </c>
      <c r="AC50" s="2">
        <f>MIN(AC$5:AC47)</f>
        <v>0</v>
      </c>
      <c r="AD50" s="2">
        <f>MIN(AD$5:AD47)</f>
        <v>0</v>
      </c>
      <c r="AE50" s="2" t="s">
        <v>57</v>
      </c>
      <c r="AF50" s="2" t="s">
        <v>57</v>
      </c>
      <c r="AG50" s="2">
        <f>MIN(AG$5:AG47)</f>
        <v>0</v>
      </c>
      <c r="AH50" s="2">
        <f>MIN(AH$5:AH47)</f>
        <v>0</v>
      </c>
      <c r="AI50" s="2">
        <f>MIN(AI$5:AI47)</f>
        <v>0</v>
      </c>
      <c r="AJ50" s="2">
        <f>MIN(AJ$5:AJ47)</f>
        <v>0</v>
      </c>
      <c r="AK50" s="2">
        <f>MIN(AK$5:AK47)</f>
        <v>0</v>
      </c>
      <c r="AL50" s="2">
        <f>MIN(AL$5:AL47)</f>
        <v>0</v>
      </c>
      <c r="AM50" s="2">
        <f>MIN(AM$5:AM47)</f>
        <v>0</v>
      </c>
      <c r="AN50" s="2">
        <f>MIN(AN$5:AN47)</f>
        <v>0</v>
      </c>
      <c r="AO50" s="2" t="s">
        <v>57</v>
      </c>
      <c r="AP50" s="2" t="s">
        <v>57</v>
      </c>
      <c r="AQ50" s="2">
        <f>MIN(AQ$5:AQ47)</f>
        <v>0</v>
      </c>
      <c r="AR50" s="29">
        <f>MIN(AR$5:AR47)</f>
        <v>0</v>
      </c>
      <c r="AS50" s="154"/>
      <c r="AT50" s="151"/>
      <c r="AU50" s="151"/>
      <c r="AV50" s="156" t="s">
        <v>64</v>
      </c>
      <c r="AW50" s="2" t="s">
        <v>65</v>
      </c>
      <c r="AX50" s="8">
        <f>SUM(AT5:AT47)</f>
        <v>198</v>
      </c>
      <c r="AY50" s="157">
        <f>SUM(AS46:AS47)</f>
        <v>0</v>
      </c>
      <c r="AZ50" s="151"/>
      <c r="BA50" s="151"/>
      <c r="BB50" s="151"/>
      <c r="BC50" s="158" t="s">
        <v>45</v>
      </c>
      <c r="BD50" s="158" t="s">
        <v>46</v>
      </c>
      <c r="BE50" s="158" t="s">
        <v>47</v>
      </c>
      <c r="BF50" s="158" t="s">
        <v>48</v>
      </c>
      <c r="BG50" s="158" t="s">
        <v>49</v>
      </c>
      <c r="BH50" s="158" t="s">
        <v>50</v>
      </c>
      <c r="BI50" s="158" t="s">
        <v>51</v>
      </c>
      <c r="BJ50" s="158" t="s">
        <v>52</v>
      </c>
      <c r="BK50" s="158" t="s">
        <v>53</v>
      </c>
      <c r="BL50" s="158" t="s">
        <v>54</v>
      </c>
      <c r="BM50" s="159" t="s">
        <v>55</v>
      </c>
      <c r="BN50" s="158" t="s">
        <v>56</v>
      </c>
    </row>
    <row r="51" spans="1:66" ht="8.25" customHeight="1">
      <c r="A51" s="149"/>
      <c r="B51" s="150"/>
      <c r="C51" s="149"/>
      <c r="D51" s="149"/>
      <c r="E51" s="149"/>
      <c r="F51" s="151"/>
      <c r="G51" s="152"/>
      <c r="H51" s="151"/>
      <c r="I51" s="149"/>
      <c r="J51" s="153"/>
      <c r="K51" s="149"/>
      <c r="L51" s="403"/>
      <c r="M51" s="404"/>
      <c r="N51" s="404"/>
      <c r="O51" s="78"/>
      <c r="P51" s="149"/>
      <c r="Q51" s="149"/>
      <c r="R51" s="149"/>
      <c r="S51" s="149"/>
      <c r="T51" s="149"/>
      <c r="U51" s="151"/>
      <c r="V51" s="149"/>
      <c r="W51" s="151"/>
      <c r="X51" s="145" t="s">
        <v>146</v>
      </c>
      <c r="Y51" s="2">
        <f>MAX(Y$5:Y47)</f>
        <v>0</v>
      </c>
      <c r="Z51" s="2">
        <f>MAX(Z$5:Z47)</f>
        <v>0</v>
      </c>
      <c r="AA51" s="2">
        <f>MAX(AA$5:AA47)</f>
        <v>0</v>
      </c>
      <c r="AB51" s="2">
        <f>MAX(AB$5:AB47)</f>
        <v>0</v>
      </c>
      <c r="AC51" s="2">
        <f>MAX(AC$5:AC47)</f>
        <v>0</v>
      </c>
      <c r="AD51" s="2">
        <f>MAX(AD$5:AD47)</f>
        <v>0</v>
      </c>
      <c r="AE51" s="2" t="s">
        <v>57</v>
      </c>
      <c r="AF51" s="2" t="s">
        <v>57</v>
      </c>
      <c r="AG51" s="2">
        <f>MAX(AG$5:AG47)</f>
        <v>0</v>
      </c>
      <c r="AH51" s="2">
        <f>MAX(AH$5:AH47)</f>
        <v>0</v>
      </c>
      <c r="AI51" s="2">
        <f>MAX(AI$5:AI47)</f>
        <v>0</v>
      </c>
      <c r="AJ51" s="2">
        <f>MAX(AJ$5:AJ47)</f>
        <v>0</v>
      </c>
      <c r="AK51" s="2">
        <f>MAX(AK$5:AK47)</f>
        <v>0</v>
      </c>
      <c r="AL51" s="2">
        <f>MAX(AL$5:AL47)</f>
        <v>0</v>
      </c>
      <c r="AM51" s="2">
        <f>MAX(AM$5:AM47)</f>
        <v>0</v>
      </c>
      <c r="AN51" s="2">
        <f>MAX(AN$5:AN47)</f>
        <v>0</v>
      </c>
      <c r="AO51" s="2" t="s">
        <v>57</v>
      </c>
      <c r="AP51" s="2" t="s">
        <v>57</v>
      </c>
      <c r="AQ51" s="2">
        <f>MAX(AQ$5:AQ47)</f>
        <v>0</v>
      </c>
      <c r="AR51" s="29">
        <f>MAX(AR$5:AR47)</f>
        <v>0</v>
      </c>
      <c r="AS51" s="154"/>
      <c r="AT51" s="151"/>
      <c r="AU51" s="151"/>
      <c r="AV51" s="48" t="s">
        <v>46</v>
      </c>
      <c r="AW51" s="2">
        <f>BC49</f>
        <v>33000</v>
      </c>
      <c r="AX51" s="2">
        <f>BD49</f>
        <v>66</v>
      </c>
      <c r="AY51" s="29">
        <f>BE49</f>
        <v>0</v>
      </c>
      <c r="AZ51" s="151"/>
      <c r="BA51" s="151"/>
      <c r="BB51" s="151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</row>
    <row r="52" spans="1:66" ht="8.25" customHeight="1">
      <c r="A52" s="149"/>
      <c r="B52" s="150"/>
      <c r="C52" s="149"/>
      <c r="D52" s="149"/>
      <c r="E52" s="149"/>
      <c r="F52" s="151"/>
      <c r="G52" s="152"/>
      <c r="H52" s="151"/>
      <c r="I52" s="149"/>
      <c r="J52" s="153"/>
      <c r="K52" s="149"/>
      <c r="L52" s="152"/>
      <c r="M52" s="152"/>
      <c r="N52" s="152"/>
      <c r="O52" s="78"/>
      <c r="P52" s="149"/>
      <c r="Q52" s="149"/>
      <c r="R52" s="149"/>
      <c r="S52" s="149"/>
      <c r="T52" s="149"/>
      <c r="U52" s="151"/>
      <c r="V52" s="149"/>
      <c r="W52" s="151"/>
      <c r="X52" s="145" t="s">
        <v>66</v>
      </c>
      <c r="Y52" s="2">
        <f>STDEV(Y$7:Y47)</f>
        <v>0</v>
      </c>
      <c r="Z52" s="2">
        <f>STDEV(Z$7:Z47)</f>
        <v>0</v>
      </c>
      <c r="AA52" s="2">
        <f>STDEV(AA$7:AA47)</f>
        <v>0</v>
      </c>
      <c r="AB52" s="2">
        <f>STDEV(AB$7:AB47)</f>
        <v>0</v>
      </c>
      <c r="AC52" s="2">
        <f>STDEV(AC$7:AC47)</f>
        <v>0</v>
      </c>
      <c r="AD52" s="2">
        <f>STDEV(AD$7:AD47)</f>
        <v>0</v>
      </c>
      <c r="AE52" s="2" t="s">
        <v>57</v>
      </c>
      <c r="AF52" s="2" t="s">
        <v>57</v>
      </c>
      <c r="AG52" s="2">
        <f>STDEV(AG$7:AG47)</f>
        <v>0</v>
      </c>
      <c r="AH52" s="2">
        <f>STDEV(AH$7:AH47)</f>
        <v>0</v>
      </c>
      <c r="AI52" s="2">
        <f>STDEV(AI$7:AI47)</f>
        <v>0</v>
      </c>
      <c r="AJ52" s="2">
        <f>STDEV(AJ$7:AJ47)</f>
        <v>0</v>
      </c>
      <c r="AK52" s="2">
        <f>STDEV(AK$7:AK47)</f>
        <v>0</v>
      </c>
      <c r="AL52" s="2">
        <f>STDEV(AL$7:AL47)</f>
        <v>0</v>
      </c>
      <c r="AM52" s="2">
        <f>STDEV(AM$7:AM47)</f>
        <v>0</v>
      </c>
      <c r="AN52" s="2">
        <f>STDEV(AN$7:AN47)</f>
        <v>0</v>
      </c>
      <c r="AO52" s="2" t="s">
        <v>57</v>
      </c>
      <c r="AP52" s="2" t="s">
        <v>57</v>
      </c>
      <c r="AQ52" s="2">
        <f>STDEV(AQ$7:AQ47)</f>
        <v>0</v>
      </c>
      <c r="AR52" s="29">
        <f>STDEV(AR$7:AR47)</f>
        <v>0</v>
      </c>
      <c r="AS52" s="154"/>
      <c r="AT52" s="151"/>
      <c r="AU52" s="151"/>
      <c r="AV52" s="48" t="s">
        <v>49</v>
      </c>
      <c r="AW52" s="2">
        <f>BF49</f>
        <v>0</v>
      </c>
      <c r="AX52" s="2">
        <f>BG49</f>
        <v>0</v>
      </c>
      <c r="AY52" s="29">
        <f>BH49</f>
        <v>0</v>
      </c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</row>
    <row r="53" spans="1:66" ht="9" customHeight="1" thickBot="1">
      <c r="A53" s="149"/>
      <c r="B53" s="150"/>
      <c r="C53" s="149"/>
      <c r="D53" s="149"/>
      <c r="E53" s="149"/>
      <c r="F53" s="151"/>
      <c r="G53" s="152"/>
      <c r="H53" s="151"/>
      <c r="I53" s="149"/>
      <c r="J53" s="153"/>
      <c r="K53" s="149"/>
      <c r="L53" s="152"/>
      <c r="M53" s="152"/>
      <c r="N53" s="152"/>
      <c r="O53" s="78"/>
      <c r="P53" s="149"/>
      <c r="Q53" s="149"/>
      <c r="R53" s="149"/>
      <c r="S53" s="149"/>
      <c r="T53" s="149"/>
      <c r="U53" s="151"/>
      <c r="V53" s="149"/>
      <c r="W53" s="151"/>
      <c r="X53" s="146" t="s">
        <v>67</v>
      </c>
      <c r="Y53" s="32">
        <f t="shared" ref="Y53" si="19">IF(Y49+(3*Y52)&gt;100,100,Y49+(3*Y52))</f>
        <v>0</v>
      </c>
      <c r="Z53" s="32">
        <f t="shared" ref="Z53:AD53" si="20">IF(Z49+(3*Z52)&gt;100,100,Z49+(3*Z52))</f>
        <v>0</v>
      </c>
      <c r="AA53" s="32">
        <f t="shared" si="20"/>
        <v>0</v>
      </c>
      <c r="AB53" s="32">
        <f t="shared" si="20"/>
        <v>0</v>
      </c>
      <c r="AC53" s="32">
        <f t="shared" si="20"/>
        <v>0</v>
      </c>
      <c r="AD53" s="32">
        <f t="shared" si="20"/>
        <v>0</v>
      </c>
      <c r="AE53" s="32" t="s">
        <v>57</v>
      </c>
      <c r="AF53" s="32" t="s">
        <v>57</v>
      </c>
      <c r="AG53" s="32">
        <f t="shared" ref="AG53:AN53" si="21">IF(AG49+(3*AG52)&gt;100,100,AG49+(3*AG52))</f>
        <v>0</v>
      </c>
      <c r="AH53" s="32">
        <f t="shared" si="21"/>
        <v>0</v>
      </c>
      <c r="AI53" s="32">
        <f t="shared" si="21"/>
        <v>0</v>
      </c>
      <c r="AJ53" s="32">
        <f t="shared" si="21"/>
        <v>0</v>
      </c>
      <c r="AK53" s="32">
        <f t="shared" si="21"/>
        <v>0</v>
      </c>
      <c r="AL53" s="32">
        <f t="shared" si="21"/>
        <v>0</v>
      </c>
      <c r="AM53" s="32">
        <f t="shared" si="21"/>
        <v>0</v>
      </c>
      <c r="AN53" s="32">
        <f t="shared" si="21"/>
        <v>0</v>
      </c>
      <c r="AO53" s="32" t="s">
        <v>57</v>
      </c>
      <c r="AP53" s="32" t="s">
        <v>57</v>
      </c>
      <c r="AQ53" s="32">
        <f t="shared" ref="AQ53:AR53" si="22">IF(AQ49+(3*AQ52)&gt;100,100,AQ49+(3*AQ52))</f>
        <v>0</v>
      </c>
      <c r="AR53" s="49">
        <f t="shared" si="22"/>
        <v>0</v>
      </c>
      <c r="AS53" s="154"/>
      <c r="AT53" s="151"/>
      <c r="AU53" s="151"/>
      <c r="AV53" s="48" t="s">
        <v>52</v>
      </c>
      <c r="AW53" s="2">
        <f>BI49</f>
        <v>66000</v>
      </c>
      <c r="AX53" s="2">
        <f>BJ49</f>
        <v>66</v>
      </c>
      <c r="AY53" s="29">
        <f>BK49</f>
        <v>0</v>
      </c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</row>
    <row r="54" spans="1:66" ht="9" customHeight="1" thickBot="1">
      <c r="A54" s="149"/>
      <c r="B54" s="150"/>
      <c r="C54" s="149"/>
      <c r="D54" s="149"/>
      <c r="E54" s="149"/>
      <c r="F54" s="151"/>
      <c r="G54" s="152"/>
      <c r="H54" s="151"/>
      <c r="I54" s="149"/>
      <c r="J54" s="153"/>
      <c r="K54" s="149"/>
      <c r="L54" s="152"/>
      <c r="M54" s="152"/>
      <c r="N54" s="152"/>
      <c r="O54" s="78"/>
      <c r="P54" s="149"/>
      <c r="Q54" s="149"/>
      <c r="R54" s="149"/>
      <c r="S54" s="149"/>
      <c r="T54" s="149"/>
      <c r="U54" s="151"/>
      <c r="V54" s="149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4"/>
      <c r="AO54" s="151"/>
      <c r="AP54" s="151"/>
      <c r="AQ54" s="151"/>
      <c r="AR54" s="151"/>
      <c r="AS54" s="151"/>
      <c r="AT54" s="151"/>
      <c r="AU54" s="151"/>
      <c r="AV54" s="50" t="s">
        <v>58</v>
      </c>
      <c r="AW54" s="32">
        <f>BL49</f>
        <v>4224</v>
      </c>
      <c r="AX54" s="32">
        <f>BM49</f>
        <v>44</v>
      </c>
      <c r="AY54" s="49">
        <f>BN49</f>
        <v>0</v>
      </c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8" t="str">
        <f>IF(AND($AV54="HAST",NOT(ISBLANK($AZ54))),$BA54*$AX54,"")</f>
        <v/>
      </c>
      <c r="BM54" s="18" t="str">
        <f>IF(AND($AV54="HAST",NOT(ISBLANK($AZ54))),$BA54,"")</f>
        <v/>
      </c>
      <c r="BN54" s="18" t="str">
        <f>IF(AND($AV54="HAST",NOT(ISBLANK($AZ54))),$AZ54,"")</f>
        <v/>
      </c>
    </row>
    <row r="55" spans="1:66" ht="8.25" customHeight="1">
      <c r="X55" s="152" t="s">
        <v>69</v>
      </c>
      <c r="Y55" s="148"/>
      <c r="Z55" s="148"/>
    </row>
    <row r="56" spans="1:66" ht="8.25" customHeight="1">
      <c r="X56" s="152"/>
      <c r="Y56" s="160" t="s">
        <v>70</v>
      </c>
      <c r="Z56" s="148"/>
    </row>
    <row r="57" spans="1:66" ht="8.25" customHeight="1">
      <c r="X57" s="152"/>
      <c r="Y57" s="160" t="s">
        <v>71</v>
      </c>
      <c r="Z57" s="148"/>
    </row>
    <row r="58" spans="1:66" ht="8.25" customHeight="1">
      <c r="X58" s="152"/>
      <c r="Y58" s="160" t="s">
        <v>72</v>
      </c>
      <c r="Z58" s="148"/>
    </row>
    <row r="59" spans="1:66" ht="8.25" customHeight="1">
      <c r="X59" s="152"/>
      <c r="Y59" s="160" t="s">
        <v>73</v>
      </c>
      <c r="Z59" s="148"/>
    </row>
    <row r="60" spans="1:66" ht="8.25" customHeight="1">
      <c r="X60" s="152"/>
      <c r="Y60" s="160" t="s">
        <v>74</v>
      </c>
      <c r="Z60" s="148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1:N51"/>
    <mergeCell ref="L4:N4"/>
    <mergeCell ref="L48:N48"/>
    <mergeCell ref="L49:N49"/>
    <mergeCell ref="L50:N50"/>
  </mergeCells>
  <conditionalFormatting sqref="AS48:AS54 AS61:AS66">
    <cfRule type="cellIs" dxfId="87" priority="592" stopIfTrue="1" operator="greaterThan">
      <formula>0</formula>
    </cfRule>
  </conditionalFormatting>
  <conditionalFormatting sqref="AX3:AX4">
    <cfRule type="cellIs" dxfId="86" priority="593" stopIfTrue="1" operator="equal">
      <formula>"Ongoing"</formula>
    </cfRule>
  </conditionalFormatting>
  <conditionalFormatting sqref="AX48:AX54 AY50 AX61:AX66 AZ63:AZ65">
    <cfRule type="cellIs" dxfId="85" priority="589" stopIfTrue="1" operator="equal">
      <formula>"Ongoing"</formula>
    </cfRule>
  </conditionalFormatting>
  <conditionalFormatting sqref="AZ5:AZ47">
    <cfRule type="cellIs" dxfId="84" priority="165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36"/>
  <sheetViews>
    <sheetView showGridLines="0" zoomScale="140" zoomScaleNormal="140" workbookViewId="0">
      <pane xSplit="6" ySplit="4" topLeftCell="AE5" activePane="bottomRight" state="frozen"/>
      <selection activeCell="AP22" sqref="AP22"/>
      <selection pane="topRight" activeCell="AP22" sqref="AP22"/>
      <selection pane="bottomLeft" activeCell="AP22" sqref="AP22"/>
      <selection pane="bottomRight" activeCell="AW17" sqref="AW17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4" width="6" style="109" customWidth="1"/>
    <col min="5" max="6" width="4" style="109" customWidth="1"/>
    <col min="7" max="7" width="3.54296875" style="109" customWidth="1"/>
    <col min="8" max="8" width="1.54296875" style="109" customWidth="1"/>
    <col min="9" max="9" width="3.453125" style="109" customWidth="1"/>
    <col min="10" max="10" width="3.26953125" style="109" customWidth="1"/>
    <col min="11" max="11" width="1.54296875" style="109" customWidth="1"/>
    <col min="12" max="12" width="3.453125" style="109" customWidth="1"/>
    <col min="13" max="13" width="3" style="109" customWidth="1"/>
    <col min="14" max="14" width="2.54296875" style="109" customWidth="1"/>
    <col min="15" max="15" width="2.26953125" style="109" customWidth="1"/>
    <col min="16" max="16" width="5.1796875" style="109" customWidth="1"/>
    <col min="17" max="17" width="11.7265625" style="109" customWidth="1"/>
    <col min="18" max="18" width="4.453125" style="109" customWidth="1"/>
    <col min="19" max="19" width="3.81640625" style="109" customWidth="1"/>
    <col min="20" max="20" width="7" style="109" customWidth="1"/>
    <col min="21" max="21" width="9.1796875" style="109" bestFit="1" customWidth="1"/>
    <col min="22" max="22" width="2.54296875" style="109" customWidth="1"/>
    <col min="23" max="23" width="8.7265625" style="109" customWidth="1"/>
    <col min="24" max="24" width="11" style="109" customWidth="1"/>
    <col min="25" max="25" width="7.54296875" style="109" customWidth="1"/>
    <col min="26" max="47" width="2.7265625" style="109" customWidth="1"/>
    <col min="48" max="48" width="5.54296875" style="109" customWidth="1"/>
    <col min="49" max="49" width="4.1796875" style="109" customWidth="1"/>
    <col min="50" max="50" width="6.81640625" style="109" customWidth="1"/>
    <col min="51" max="52" width="4.54296875" style="109" customWidth="1"/>
    <col min="53" max="53" width="2.7265625" style="109" customWidth="1"/>
    <col min="54" max="54" width="9.453125" style="109" customWidth="1"/>
    <col min="55" max="55" width="3" style="109" customWidth="1"/>
    <col min="56" max="56" width="1.26953125" style="109" customWidth="1"/>
    <col min="57" max="57" width="6.54296875" style="109" customWidth="1"/>
    <col min="58" max="58" width="3.7265625" style="109" customWidth="1"/>
    <col min="59" max="59" width="5.54296875" style="109" customWidth="1"/>
    <col min="60" max="62" width="2.81640625" style="109" hidden="1" customWidth="1"/>
    <col min="63" max="63" width="6.54296875" style="109" customWidth="1"/>
    <col min="64" max="64" width="4.26953125" style="109" customWidth="1"/>
    <col min="65" max="65" width="5.7265625" style="109" customWidth="1"/>
    <col min="66" max="66" width="6.7265625" style="109" customWidth="1"/>
    <col min="67" max="67" width="4.26953125" style="109" customWidth="1"/>
    <col min="68" max="68" width="6" style="109" customWidth="1"/>
    <col min="69" max="78" width="9.1796875" style="109" customWidth="1"/>
    <col min="79" max="16384" width="14.453125" style="109"/>
  </cols>
  <sheetData>
    <row r="1" spans="1:68" ht="10.5" customHeight="1">
      <c r="A1" s="447" t="s">
        <v>0</v>
      </c>
      <c r="B1" s="438"/>
      <c r="C1" s="438"/>
      <c r="D1" s="448"/>
      <c r="E1" s="437" t="s">
        <v>1</v>
      </c>
      <c r="F1" s="303"/>
      <c r="G1" s="444" t="s">
        <v>2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445" t="s">
        <v>3</v>
      </c>
      <c r="Y1" s="436" t="s">
        <v>4</v>
      </c>
      <c r="Z1" s="453" t="s">
        <v>5</v>
      </c>
      <c r="AA1" s="297"/>
      <c r="AB1" s="297"/>
      <c r="AC1" s="297"/>
      <c r="AD1" s="297"/>
      <c r="AE1" s="297"/>
      <c r="AF1" s="297"/>
      <c r="AG1" s="297"/>
      <c r="AH1" s="297"/>
      <c r="AI1" s="303"/>
      <c r="AJ1" s="436" t="s">
        <v>6</v>
      </c>
      <c r="AK1" s="297"/>
      <c r="AL1" s="297"/>
      <c r="AM1" s="297"/>
      <c r="AN1" s="297"/>
      <c r="AO1" s="297"/>
      <c r="AP1" s="297"/>
      <c r="AQ1" s="297"/>
      <c r="AR1" s="297"/>
      <c r="AS1" s="298"/>
      <c r="AT1" s="437" t="s">
        <v>7</v>
      </c>
      <c r="AU1" s="297"/>
      <c r="AV1" s="303"/>
      <c r="AW1" s="438" t="s">
        <v>8</v>
      </c>
      <c r="AX1" s="297"/>
      <c r="AY1" s="297"/>
      <c r="AZ1" s="297"/>
      <c r="BA1" s="297"/>
      <c r="BB1" s="297"/>
      <c r="BC1" s="307"/>
      <c r="BD1" s="263"/>
      <c r="BE1" s="263"/>
      <c r="BF1" s="263"/>
      <c r="BG1" s="263"/>
      <c r="BH1" s="263"/>
      <c r="BI1" s="263"/>
      <c r="BJ1" s="263"/>
      <c r="BK1" s="263"/>
      <c r="BL1" s="263"/>
      <c r="BM1" s="263"/>
      <c r="BN1" s="263"/>
      <c r="BO1" s="263"/>
      <c r="BP1" s="263"/>
    </row>
    <row r="2" spans="1:68" ht="10.5" customHeight="1">
      <c r="A2" s="449"/>
      <c r="B2" s="450"/>
      <c r="C2" s="450"/>
      <c r="D2" s="451"/>
      <c r="E2" s="304"/>
      <c r="F2" s="305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29"/>
      <c r="Y2" s="332"/>
      <c r="Z2" s="304"/>
      <c r="AA2" s="300"/>
      <c r="AB2" s="300"/>
      <c r="AC2" s="300"/>
      <c r="AD2" s="300"/>
      <c r="AE2" s="300"/>
      <c r="AF2" s="300"/>
      <c r="AG2" s="300"/>
      <c r="AH2" s="300"/>
      <c r="AI2" s="305"/>
      <c r="AJ2" s="300"/>
      <c r="AK2" s="300"/>
      <c r="AL2" s="300"/>
      <c r="AM2" s="300"/>
      <c r="AN2" s="300"/>
      <c r="AO2" s="300"/>
      <c r="AP2" s="300"/>
      <c r="AQ2" s="300"/>
      <c r="AR2" s="300"/>
      <c r="AS2" s="301"/>
      <c r="AT2" s="304"/>
      <c r="AU2" s="300"/>
      <c r="AV2" s="305"/>
      <c r="AW2" s="300"/>
      <c r="AX2" s="300"/>
      <c r="AY2" s="300"/>
      <c r="AZ2" s="300"/>
      <c r="BA2" s="300"/>
      <c r="BB2" s="300"/>
      <c r="BC2" s="308"/>
      <c r="BD2" s="263"/>
      <c r="BE2" s="263"/>
      <c r="BF2" s="263"/>
      <c r="BG2" s="263"/>
      <c r="BH2" s="263"/>
      <c r="BI2" s="263"/>
      <c r="BJ2" s="263"/>
      <c r="BK2" s="263"/>
      <c r="BL2" s="263"/>
      <c r="BM2" s="263"/>
      <c r="BN2" s="263"/>
      <c r="BO2" s="263"/>
      <c r="BP2" s="263"/>
    </row>
    <row r="3" spans="1:68" ht="16">
      <c r="A3" s="439" t="s">
        <v>9</v>
      </c>
      <c r="B3" s="433" t="s">
        <v>10</v>
      </c>
      <c r="C3" s="313" t="s">
        <v>131</v>
      </c>
      <c r="D3" s="441" t="s">
        <v>75</v>
      </c>
      <c r="E3" s="440" t="s">
        <v>11</v>
      </c>
      <c r="F3" s="441" t="s">
        <v>12</v>
      </c>
      <c r="G3" s="442" t="s">
        <v>13</v>
      </c>
      <c r="H3" s="319"/>
      <c r="I3" s="320"/>
      <c r="J3" s="443" t="s">
        <v>14</v>
      </c>
      <c r="K3" s="319"/>
      <c r="L3" s="320"/>
      <c r="M3" s="443" t="s">
        <v>15</v>
      </c>
      <c r="N3" s="319"/>
      <c r="O3" s="320"/>
      <c r="P3" s="446" t="s">
        <v>16</v>
      </c>
      <c r="Q3" s="433" t="s">
        <v>17</v>
      </c>
      <c r="R3" s="250" t="s">
        <v>18</v>
      </c>
      <c r="S3" s="446" t="s">
        <v>19</v>
      </c>
      <c r="T3" s="446" t="s">
        <v>20</v>
      </c>
      <c r="U3" s="446" t="s">
        <v>21</v>
      </c>
      <c r="V3" s="433" t="s">
        <v>22</v>
      </c>
      <c r="W3" s="454" t="s">
        <v>23</v>
      </c>
      <c r="X3" s="329"/>
      <c r="Y3" s="332"/>
      <c r="Z3" s="455" t="s">
        <v>24</v>
      </c>
      <c r="AA3" s="320"/>
      <c r="AB3" s="431" t="s">
        <v>25</v>
      </c>
      <c r="AC3" s="320"/>
      <c r="AD3" s="431" t="s">
        <v>26</v>
      </c>
      <c r="AE3" s="320"/>
      <c r="AF3" s="431" t="s">
        <v>27</v>
      </c>
      <c r="AG3" s="320"/>
      <c r="AH3" s="431" t="s">
        <v>28</v>
      </c>
      <c r="AI3" s="402"/>
      <c r="AJ3" s="432" t="s">
        <v>24</v>
      </c>
      <c r="AK3" s="320"/>
      <c r="AL3" s="431" t="s">
        <v>25</v>
      </c>
      <c r="AM3" s="320"/>
      <c r="AN3" s="431" t="s">
        <v>26</v>
      </c>
      <c r="AO3" s="320"/>
      <c r="AP3" s="431" t="s">
        <v>27</v>
      </c>
      <c r="AQ3" s="320"/>
      <c r="AR3" s="431" t="s">
        <v>28</v>
      </c>
      <c r="AS3" s="320"/>
      <c r="AT3" s="264" t="s">
        <v>29</v>
      </c>
      <c r="AU3" s="433" t="s">
        <v>30</v>
      </c>
      <c r="AV3" s="434" t="s">
        <v>31</v>
      </c>
      <c r="AW3" s="435" t="s">
        <v>32</v>
      </c>
      <c r="AX3" s="250" t="s">
        <v>33</v>
      </c>
      <c r="AY3" s="250" t="s">
        <v>34</v>
      </c>
      <c r="AZ3" s="250" t="s">
        <v>35</v>
      </c>
      <c r="BA3" s="250" t="s">
        <v>29</v>
      </c>
      <c r="BB3" s="265" t="s">
        <v>76</v>
      </c>
      <c r="BC3" s="430" t="s">
        <v>30</v>
      </c>
      <c r="BD3" s="263"/>
      <c r="BE3" s="263"/>
      <c r="BF3" s="263"/>
      <c r="BG3" s="263"/>
      <c r="BH3" s="263"/>
      <c r="BI3" s="263"/>
      <c r="BJ3" s="263"/>
      <c r="BK3" s="263"/>
      <c r="BL3" s="263"/>
      <c r="BM3" s="263"/>
      <c r="BN3" s="263"/>
      <c r="BO3" s="263"/>
      <c r="BP3" s="263"/>
    </row>
    <row r="4" spans="1:68" ht="10.5" customHeight="1">
      <c r="A4" s="310"/>
      <c r="B4" s="312"/>
      <c r="C4" s="388"/>
      <c r="D4" s="452"/>
      <c r="E4" s="316"/>
      <c r="F4" s="351"/>
      <c r="G4" s="52" t="s">
        <v>36</v>
      </c>
      <c r="H4" s="53" t="s">
        <v>37</v>
      </c>
      <c r="I4" s="54" t="s">
        <v>36</v>
      </c>
      <c r="J4" s="54" t="s">
        <v>36</v>
      </c>
      <c r="K4" s="53" t="s">
        <v>37</v>
      </c>
      <c r="L4" s="54" t="s">
        <v>36</v>
      </c>
      <c r="M4" s="399" t="s">
        <v>38</v>
      </c>
      <c r="N4" s="400"/>
      <c r="O4" s="401"/>
      <c r="P4" s="312"/>
      <c r="Q4" s="312"/>
      <c r="R4" s="54" t="s">
        <v>39</v>
      </c>
      <c r="S4" s="312"/>
      <c r="T4" s="312"/>
      <c r="U4" s="312"/>
      <c r="V4" s="312"/>
      <c r="W4" s="314"/>
      <c r="X4" s="330"/>
      <c r="Y4" s="333"/>
      <c r="Z4" s="266" t="s">
        <v>29</v>
      </c>
      <c r="AA4" s="267" t="s">
        <v>40</v>
      </c>
      <c r="AB4" s="53" t="s">
        <v>29</v>
      </c>
      <c r="AC4" s="267" t="s">
        <v>40</v>
      </c>
      <c r="AD4" s="53" t="s">
        <v>29</v>
      </c>
      <c r="AE4" s="267" t="s">
        <v>40</v>
      </c>
      <c r="AF4" s="53" t="s">
        <v>29</v>
      </c>
      <c r="AG4" s="267" t="s">
        <v>40</v>
      </c>
      <c r="AH4" s="53" t="s">
        <v>29</v>
      </c>
      <c r="AI4" s="268" t="s">
        <v>40</v>
      </c>
      <c r="AJ4" s="269" t="s">
        <v>29</v>
      </c>
      <c r="AK4" s="267" t="s">
        <v>40</v>
      </c>
      <c r="AL4" s="53" t="s">
        <v>29</v>
      </c>
      <c r="AM4" s="267" t="s">
        <v>40</v>
      </c>
      <c r="AN4" s="53" t="s">
        <v>29</v>
      </c>
      <c r="AO4" s="267" t="s">
        <v>40</v>
      </c>
      <c r="AP4" s="53" t="s">
        <v>29</v>
      </c>
      <c r="AQ4" s="267" t="s">
        <v>40</v>
      </c>
      <c r="AR4" s="53" t="s">
        <v>29</v>
      </c>
      <c r="AS4" s="270" t="s">
        <v>40</v>
      </c>
      <c r="AT4" s="271" t="s">
        <v>41</v>
      </c>
      <c r="AU4" s="312"/>
      <c r="AV4" s="351"/>
      <c r="AW4" s="346"/>
      <c r="AX4" s="54" t="s">
        <v>42</v>
      </c>
      <c r="AY4" s="54" t="s">
        <v>43</v>
      </c>
      <c r="AZ4" s="54" t="s">
        <v>44</v>
      </c>
      <c r="BA4" s="54" t="s">
        <v>41</v>
      </c>
      <c r="BB4" s="272" t="s">
        <v>41</v>
      </c>
      <c r="BC4" s="348"/>
      <c r="BD4" s="263"/>
      <c r="BE4" s="74" t="s">
        <v>45</v>
      </c>
      <c r="BF4" s="74" t="s">
        <v>46</v>
      </c>
      <c r="BG4" s="74" t="s">
        <v>47</v>
      </c>
      <c r="BH4" s="74" t="s">
        <v>48</v>
      </c>
      <c r="BI4" s="74" t="s">
        <v>49</v>
      </c>
      <c r="BJ4" s="74" t="s">
        <v>50</v>
      </c>
      <c r="BK4" s="74" t="s">
        <v>51</v>
      </c>
      <c r="BL4" s="74" t="s">
        <v>52</v>
      </c>
      <c r="BM4" s="74" t="s">
        <v>53</v>
      </c>
      <c r="BN4" s="74" t="s">
        <v>54</v>
      </c>
      <c r="BO4" s="74" t="s">
        <v>55</v>
      </c>
      <c r="BP4" s="74" t="s">
        <v>56</v>
      </c>
    </row>
    <row r="5" spans="1:68" ht="8.25" customHeight="1">
      <c r="A5" s="1" t="s">
        <v>115</v>
      </c>
      <c r="B5" s="110">
        <v>32</v>
      </c>
      <c r="C5" s="13" t="s">
        <v>208</v>
      </c>
      <c r="D5" s="245">
        <v>1</v>
      </c>
      <c r="E5" s="138">
        <v>2504</v>
      </c>
      <c r="F5" s="103" t="s">
        <v>85</v>
      </c>
      <c r="G5" s="273" t="s">
        <v>166</v>
      </c>
      <c r="H5" s="110" t="s">
        <v>147</v>
      </c>
      <c r="I5" s="274" t="s">
        <v>167</v>
      </c>
      <c r="J5" s="110">
        <v>157</v>
      </c>
      <c r="K5" s="110" t="s">
        <v>147</v>
      </c>
      <c r="L5" s="110">
        <v>157</v>
      </c>
      <c r="M5" s="13"/>
      <c r="N5" s="252" t="s">
        <v>125</v>
      </c>
      <c r="O5" s="102"/>
      <c r="P5" s="110" t="s">
        <v>117</v>
      </c>
      <c r="Q5" s="110" t="s">
        <v>165</v>
      </c>
      <c r="R5" s="275">
        <v>1</v>
      </c>
      <c r="S5" s="110" t="s">
        <v>89</v>
      </c>
      <c r="T5" s="110" t="s">
        <v>118</v>
      </c>
      <c r="U5" s="110" t="s">
        <v>187</v>
      </c>
      <c r="V5" s="110" t="s">
        <v>89</v>
      </c>
      <c r="W5" s="245" t="s">
        <v>126</v>
      </c>
      <c r="X5" s="10" t="s">
        <v>91</v>
      </c>
      <c r="Y5" s="10" t="s">
        <v>129</v>
      </c>
      <c r="Z5" s="11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 t="s">
        <v>57</v>
      </c>
      <c r="AG5" s="12" t="s">
        <v>57</v>
      </c>
      <c r="AH5" s="12">
        <v>0</v>
      </c>
      <c r="AI5" s="103">
        <v>0</v>
      </c>
      <c r="AJ5" s="10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 t="s">
        <v>57</v>
      </c>
      <c r="AQ5" s="12" t="s">
        <v>57</v>
      </c>
      <c r="AR5" s="12">
        <v>0</v>
      </c>
      <c r="AS5" s="13">
        <v>0</v>
      </c>
      <c r="AT5" s="11">
        <v>0</v>
      </c>
      <c r="AU5" s="12">
        <v>22</v>
      </c>
      <c r="AV5" s="103" t="s">
        <v>93</v>
      </c>
      <c r="AW5" s="11" t="s">
        <v>52</v>
      </c>
      <c r="AX5" s="12" t="s">
        <v>99</v>
      </c>
      <c r="AY5" s="12">
        <v>1000</v>
      </c>
      <c r="AZ5" s="12" t="s">
        <v>100</v>
      </c>
      <c r="BA5" s="12">
        <v>0</v>
      </c>
      <c r="BB5" s="13" t="s">
        <v>65</v>
      </c>
      <c r="BC5" s="276">
        <v>22</v>
      </c>
      <c r="BD5" s="74"/>
      <c r="BE5" s="74" t="str">
        <f t="shared" ref="BE5:BE23" si="0">IF(AND($AW5="TC",NOT(ISBLANK($BA5))),$BC5*$AY5,"")</f>
        <v/>
      </c>
      <c r="BF5" s="74" t="str">
        <f t="shared" ref="BF5:BF23" si="1">IF(AND($AW5="TC",NOT(ISBLANK($BA5))),$BC5,"")</f>
        <v/>
      </c>
      <c r="BG5" s="74" t="str">
        <f t="shared" ref="BG5:BG23" si="2">IF(AND($AW5="TC",NOT(ISBLANK($BA5))),$BA5,"")</f>
        <v/>
      </c>
      <c r="BH5" s="74"/>
      <c r="BI5" s="74"/>
      <c r="BJ5" s="74"/>
      <c r="BK5" s="74">
        <f t="shared" ref="BK5:BK23" si="3">IF(AND($AW5="HTS",NOT(ISBLANK($BA5))),$BC5*$AY5,"")</f>
        <v>22000</v>
      </c>
      <c r="BL5" s="74">
        <f t="shared" ref="BL5:BL23" si="4">IF(AND($AW5="HTS",NOT(ISBLANK($BA5))),$BC5,"")</f>
        <v>22</v>
      </c>
      <c r="BM5" s="74">
        <f t="shared" ref="BM5:BM23" si="5">IF(AND($AW5="HTS",NOT(ISBLANK($BA5))),$BA5,"")</f>
        <v>0</v>
      </c>
      <c r="BN5" s="74" t="str">
        <f t="shared" ref="BN5:BN23" si="6">IF(AND($AW5="HAST",NOT(ISBLANK($BA5))),$BC5*$AY5,"")</f>
        <v/>
      </c>
      <c r="BO5" s="74" t="str">
        <f t="shared" ref="BO5:BO23" si="7">IF(AND($AW5="HAST",NOT(ISBLANK($BA5))),$BC5,"")</f>
        <v/>
      </c>
      <c r="BP5" s="74" t="str">
        <f t="shared" ref="BP5:BP23" si="8">IF(AND($AW5="HAST",NOT(ISBLANK($BA5))),$BA5,"")</f>
        <v/>
      </c>
    </row>
    <row r="6" spans="1:68" ht="8.25" customHeight="1">
      <c r="A6" s="1" t="s">
        <v>115</v>
      </c>
      <c r="B6" s="110">
        <v>32</v>
      </c>
      <c r="C6" s="13" t="s">
        <v>208</v>
      </c>
      <c r="D6" s="245">
        <v>1</v>
      </c>
      <c r="E6" s="138">
        <v>2508</v>
      </c>
      <c r="F6" s="103" t="s">
        <v>85</v>
      </c>
      <c r="G6" s="273" t="s">
        <v>166</v>
      </c>
      <c r="H6" s="110" t="s">
        <v>147</v>
      </c>
      <c r="I6" s="274" t="s">
        <v>167</v>
      </c>
      <c r="J6" s="110">
        <v>157</v>
      </c>
      <c r="K6" s="110" t="s">
        <v>147</v>
      </c>
      <c r="L6" s="110">
        <v>157</v>
      </c>
      <c r="M6" s="13"/>
      <c r="N6" s="252" t="s">
        <v>125</v>
      </c>
      <c r="O6" s="102"/>
      <c r="P6" s="110" t="s">
        <v>117</v>
      </c>
      <c r="Q6" s="110" t="s">
        <v>165</v>
      </c>
      <c r="R6" s="275">
        <v>1</v>
      </c>
      <c r="S6" s="110" t="s">
        <v>89</v>
      </c>
      <c r="T6" s="110" t="s">
        <v>118</v>
      </c>
      <c r="U6" s="110" t="s">
        <v>187</v>
      </c>
      <c r="V6" s="110" t="s">
        <v>89</v>
      </c>
      <c r="W6" s="245" t="s">
        <v>126</v>
      </c>
      <c r="X6" s="10" t="s">
        <v>91</v>
      </c>
      <c r="Y6" s="10" t="s">
        <v>129</v>
      </c>
      <c r="Z6" s="11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 t="s">
        <v>57</v>
      </c>
      <c r="AG6" s="12" t="s">
        <v>57</v>
      </c>
      <c r="AH6" s="12">
        <v>0</v>
      </c>
      <c r="AI6" s="103">
        <v>0</v>
      </c>
      <c r="AJ6" s="10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 t="s">
        <v>57</v>
      </c>
      <c r="AQ6" s="12" t="s">
        <v>57</v>
      </c>
      <c r="AR6" s="12">
        <v>0</v>
      </c>
      <c r="AS6" s="13">
        <v>0</v>
      </c>
      <c r="AT6" s="11">
        <v>0</v>
      </c>
      <c r="AU6" s="12">
        <v>22</v>
      </c>
      <c r="AV6" s="103" t="s">
        <v>93</v>
      </c>
      <c r="AW6" s="11" t="s">
        <v>94</v>
      </c>
      <c r="AX6" s="12" t="s">
        <v>145</v>
      </c>
      <c r="AY6" s="12">
        <v>1000</v>
      </c>
      <c r="AZ6" s="12" t="s">
        <v>96</v>
      </c>
      <c r="BA6" s="12">
        <v>0</v>
      </c>
      <c r="BB6" s="13" t="s">
        <v>155</v>
      </c>
      <c r="BC6" s="276">
        <v>22</v>
      </c>
      <c r="BD6" s="74"/>
      <c r="BE6" s="74">
        <f t="shared" si="0"/>
        <v>22000</v>
      </c>
      <c r="BF6" s="74">
        <f t="shared" si="1"/>
        <v>22</v>
      </c>
      <c r="BG6" s="74">
        <f t="shared" si="2"/>
        <v>0</v>
      </c>
      <c r="BH6" s="74"/>
      <c r="BI6" s="74"/>
      <c r="BJ6" s="74"/>
      <c r="BK6" s="74" t="str">
        <f t="shared" si="3"/>
        <v/>
      </c>
      <c r="BL6" s="74" t="str">
        <f t="shared" si="4"/>
        <v/>
      </c>
      <c r="BM6" s="74" t="str">
        <f t="shared" si="5"/>
        <v/>
      </c>
      <c r="BN6" s="74" t="str">
        <f t="shared" si="6"/>
        <v/>
      </c>
      <c r="BO6" s="74" t="str">
        <f t="shared" si="7"/>
        <v/>
      </c>
      <c r="BP6" s="74" t="str">
        <f t="shared" si="8"/>
        <v/>
      </c>
    </row>
    <row r="7" spans="1:68" ht="8.25" customHeight="1">
      <c r="A7" s="1" t="s">
        <v>115</v>
      </c>
      <c r="B7" s="110">
        <v>32</v>
      </c>
      <c r="C7" s="13" t="s">
        <v>208</v>
      </c>
      <c r="D7" s="245">
        <v>1</v>
      </c>
      <c r="E7" s="138">
        <v>2517</v>
      </c>
      <c r="F7" s="103" t="s">
        <v>85</v>
      </c>
      <c r="G7" s="273" t="s">
        <v>166</v>
      </c>
      <c r="H7" s="110" t="s">
        <v>147</v>
      </c>
      <c r="I7" s="274" t="s">
        <v>167</v>
      </c>
      <c r="J7" s="110">
        <v>157</v>
      </c>
      <c r="K7" s="110" t="s">
        <v>147</v>
      </c>
      <c r="L7" s="110">
        <v>157</v>
      </c>
      <c r="M7" s="13"/>
      <c r="N7" s="252" t="s">
        <v>125</v>
      </c>
      <c r="O7" s="102"/>
      <c r="P7" s="110" t="s">
        <v>117</v>
      </c>
      <c r="Q7" s="110" t="s">
        <v>165</v>
      </c>
      <c r="R7" s="275">
        <v>1</v>
      </c>
      <c r="S7" s="110" t="s">
        <v>89</v>
      </c>
      <c r="T7" s="110" t="s">
        <v>118</v>
      </c>
      <c r="U7" s="110" t="s">
        <v>187</v>
      </c>
      <c r="V7" s="110" t="s">
        <v>89</v>
      </c>
      <c r="W7" s="245" t="s">
        <v>126</v>
      </c>
      <c r="X7" s="10" t="s">
        <v>91</v>
      </c>
      <c r="Y7" s="10" t="s">
        <v>190</v>
      </c>
      <c r="Z7" s="11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 t="s">
        <v>57</v>
      </c>
      <c r="AG7" s="12" t="s">
        <v>57</v>
      </c>
      <c r="AH7" s="12">
        <v>0</v>
      </c>
      <c r="AI7" s="103">
        <v>0</v>
      </c>
      <c r="AJ7" s="10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 t="s">
        <v>57</v>
      </c>
      <c r="AQ7" s="12" t="s">
        <v>57</v>
      </c>
      <c r="AR7" s="12">
        <v>0</v>
      </c>
      <c r="AS7" s="13">
        <v>0</v>
      </c>
      <c r="AT7" s="11">
        <v>0</v>
      </c>
      <c r="AU7" s="12">
        <v>22</v>
      </c>
      <c r="AV7" s="103" t="s">
        <v>93</v>
      </c>
      <c r="AW7" s="11" t="s">
        <v>52</v>
      </c>
      <c r="AX7" s="12" t="s">
        <v>99</v>
      </c>
      <c r="AY7" s="12">
        <v>1000</v>
      </c>
      <c r="AZ7" s="12" t="s">
        <v>100</v>
      </c>
      <c r="BA7" s="12">
        <v>0</v>
      </c>
      <c r="BB7" s="13" t="s">
        <v>65</v>
      </c>
      <c r="BC7" s="276">
        <v>22</v>
      </c>
      <c r="BD7" s="74"/>
      <c r="BE7" s="74" t="str">
        <f t="shared" si="0"/>
        <v/>
      </c>
      <c r="BF7" s="74" t="str">
        <f t="shared" si="1"/>
        <v/>
      </c>
      <c r="BG7" s="74" t="str">
        <f t="shared" si="2"/>
        <v/>
      </c>
      <c r="BH7" s="74"/>
      <c r="BI7" s="74"/>
      <c r="BJ7" s="74"/>
      <c r="BK7" s="74">
        <f t="shared" si="3"/>
        <v>22000</v>
      </c>
      <c r="BL7" s="74">
        <f t="shared" si="4"/>
        <v>22</v>
      </c>
      <c r="BM7" s="74">
        <f t="shared" si="5"/>
        <v>0</v>
      </c>
      <c r="BN7" s="74" t="str">
        <f t="shared" si="6"/>
        <v/>
      </c>
      <c r="BO7" s="74" t="str">
        <f t="shared" si="7"/>
        <v/>
      </c>
      <c r="BP7" s="74" t="str">
        <f t="shared" si="8"/>
        <v/>
      </c>
    </row>
    <row r="8" spans="1:68" ht="8.25" customHeight="1">
      <c r="A8" s="1" t="s">
        <v>115</v>
      </c>
      <c r="B8" s="110">
        <v>32</v>
      </c>
      <c r="C8" s="13" t="s">
        <v>208</v>
      </c>
      <c r="D8" s="245">
        <v>1</v>
      </c>
      <c r="E8" s="138">
        <v>2521</v>
      </c>
      <c r="F8" s="103" t="s">
        <v>85</v>
      </c>
      <c r="G8" s="273" t="s">
        <v>166</v>
      </c>
      <c r="H8" s="110" t="s">
        <v>147</v>
      </c>
      <c r="I8" s="274" t="s">
        <v>167</v>
      </c>
      <c r="J8" s="110">
        <v>157</v>
      </c>
      <c r="K8" s="110" t="s">
        <v>147</v>
      </c>
      <c r="L8" s="110">
        <v>157</v>
      </c>
      <c r="M8" s="13"/>
      <c r="N8" s="252" t="s">
        <v>125</v>
      </c>
      <c r="O8" s="102"/>
      <c r="P8" s="110" t="s">
        <v>117</v>
      </c>
      <c r="Q8" s="110" t="s">
        <v>165</v>
      </c>
      <c r="R8" s="275">
        <v>1</v>
      </c>
      <c r="S8" s="110" t="s">
        <v>89</v>
      </c>
      <c r="T8" s="110" t="s">
        <v>118</v>
      </c>
      <c r="U8" s="110" t="s">
        <v>187</v>
      </c>
      <c r="V8" s="110" t="s">
        <v>89</v>
      </c>
      <c r="W8" s="245" t="s">
        <v>126</v>
      </c>
      <c r="X8" s="10" t="s">
        <v>91</v>
      </c>
      <c r="Y8" s="10" t="s">
        <v>190</v>
      </c>
      <c r="Z8" s="11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 t="s">
        <v>57</v>
      </c>
      <c r="AG8" s="12" t="s">
        <v>57</v>
      </c>
      <c r="AH8" s="12">
        <v>0</v>
      </c>
      <c r="AI8" s="103">
        <v>0</v>
      </c>
      <c r="AJ8" s="10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 t="s">
        <v>57</v>
      </c>
      <c r="AQ8" s="12" t="s">
        <v>57</v>
      </c>
      <c r="AR8" s="12">
        <v>0</v>
      </c>
      <c r="AS8" s="13">
        <v>0</v>
      </c>
      <c r="AT8" s="11">
        <v>0</v>
      </c>
      <c r="AU8" s="12">
        <v>22</v>
      </c>
      <c r="AV8" s="103" t="s">
        <v>93</v>
      </c>
      <c r="AW8" s="11" t="s">
        <v>94</v>
      </c>
      <c r="AX8" s="12" t="s">
        <v>145</v>
      </c>
      <c r="AY8" s="12">
        <v>1000</v>
      </c>
      <c r="AZ8" s="12" t="s">
        <v>96</v>
      </c>
      <c r="BA8" s="12">
        <v>0</v>
      </c>
      <c r="BB8" s="13" t="s">
        <v>155</v>
      </c>
      <c r="BC8" s="276">
        <v>22</v>
      </c>
      <c r="BD8" s="74"/>
      <c r="BE8" s="74">
        <f t="shared" si="0"/>
        <v>22000</v>
      </c>
      <c r="BF8" s="74">
        <f t="shared" si="1"/>
        <v>22</v>
      </c>
      <c r="BG8" s="74">
        <f t="shared" si="2"/>
        <v>0</v>
      </c>
      <c r="BH8" s="74"/>
      <c r="BI8" s="74"/>
      <c r="BJ8" s="74"/>
      <c r="BK8" s="74" t="str">
        <f t="shared" si="3"/>
        <v/>
      </c>
      <c r="BL8" s="74" t="str">
        <f t="shared" si="4"/>
        <v/>
      </c>
      <c r="BM8" s="74" t="str">
        <f t="shared" si="5"/>
        <v/>
      </c>
      <c r="BN8" s="74" t="str">
        <f t="shared" si="6"/>
        <v/>
      </c>
      <c r="BO8" s="74" t="str">
        <f t="shared" si="7"/>
        <v/>
      </c>
      <c r="BP8" s="74" t="str">
        <f t="shared" si="8"/>
        <v/>
      </c>
    </row>
    <row r="9" spans="1:68" ht="8.25" customHeight="1">
      <c r="A9" s="1" t="s">
        <v>115</v>
      </c>
      <c r="B9" s="110">
        <v>32</v>
      </c>
      <c r="C9" s="13" t="s">
        <v>208</v>
      </c>
      <c r="D9" s="245">
        <v>1</v>
      </c>
      <c r="E9" s="138">
        <v>2525</v>
      </c>
      <c r="F9" s="103" t="s">
        <v>85</v>
      </c>
      <c r="G9" s="273" t="s">
        <v>166</v>
      </c>
      <c r="H9" s="110" t="s">
        <v>147</v>
      </c>
      <c r="I9" s="274" t="s">
        <v>167</v>
      </c>
      <c r="J9" s="110">
        <v>157</v>
      </c>
      <c r="K9" s="110" t="s">
        <v>147</v>
      </c>
      <c r="L9" s="110">
        <v>157</v>
      </c>
      <c r="M9" s="13"/>
      <c r="N9" s="252" t="s">
        <v>125</v>
      </c>
      <c r="O9" s="102"/>
      <c r="P9" s="110" t="s">
        <v>117</v>
      </c>
      <c r="Q9" s="110" t="s">
        <v>165</v>
      </c>
      <c r="R9" s="275">
        <v>1</v>
      </c>
      <c r="S9" s="110" t="s">
        <v>89</v>
      </c>
      <c r="T9" s="110" t="s">
        <v>118</v>
      </c>
      <c r="U9" s="110" t="s">
        <v>187</v>
      </c>
      <c r="V9" s="110" t="s">
        <v>89</v>
      </c>
      <c r="W9" s="245" t="s">
        <v>126</v>
      </c>
      <c r="X9" s="10" t="s">
        <v>91</v>
      </c>
      <c r="Y9" s="10" t="s">
        <v>190</v>
      </c>
      <c r="Z9" s="11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 t="s">
        <v>57</v>
      </c>
      <c r="AG9" s="12" t="s">
        <v>57</v>
      </c>
      <c r="AH9" s="12">
        <v>0</v>
      </c>
      <c r="AI9" s="103">
        <v>0</v>
      </c>
      <c r="AJ9" s="115">
        <v>0</v>
      </c>
      <c r="AK9" s="116">
        <v>0</v>
      </c>
      <c r="AL9" s="116">
        <v>0</v>
      </c>
      <c r="AM9" s="117">
        <v>0</v>
      </c>
      <c r="AN9" s="116">
        <v>0</v>
      </c>
      <c r="AO9" s="116">
        <v>0</v>
      </c>
      <c r="AP9" s="116" t="s">
        <v>57</v>
      </c>
      <c r="AQ9" s="116" t="s">
        <v>57</v>
      </c>
      <c r="AR9" s="116">
        <v>0</v>
      </c>
      <c r="AS9" s="118">
        <v>0</v>
      </c>
      <c r="AT9" s="119">
        <v>0</v>
      </c>
      <c r="AU9" s="116">
        <v>22</v>
      </c>
      <c r="AV9" s="114" t="s">
        <v>93</v>
      </c>
      <c r="AW9" s="119" t="s">
        <v>58</v>
      </c>
      <c r="AX9" s="116" t="s">
        <v>226</v>
      </c>
      <c r="AY9" s="116">
        <v>96</v>
      </c>
      <c r="AZ9" s="116" t="s">
        <v>100</v>
      </c>
      <c r="BA9" s="116">
        <v>0</v>
      </c>
      <c r="BB9" s="118" t="s">
        <v>65</v>
      </c>
      <c r="BC9" s="207">
        <v>22</v>
      </c>
      <c r="BD9" s="74"/>
      <c r="BE9" s="74" t="str">
        <f t="shared" si="0"/>
        <v/>
      </c>
      <c r="BF9" s="74" t="str">
        <f t="shared" si="1"/>
        <v/>
      </c>
      <c r="BG9" s="74" t="str">
        <f t="shared" si="2"/>
        <v/>
      </c>
      <c r="BH9" s="74"/>
      <c r="BI9" s="74"/>
      <c r="BJ9" s="74"/>
      <c r="BK9" s="74" t="str">
        <f t="shared" si="3"/>
        <v/>
      </c>
      <c r="BL9" s="74" t="str">
        <f t="shared" si="4"/>
        <v/>
      </c>
      <c r="BM9" s="74" t="str">
        <f t="shared" si="5"/>
        <v/>
      </c>
      <c r="BN9" s="74">
        <f t="shared" si="6"/>
        <v>2112</v>
      </c>
      <c r="BO9" s="74">
        <f t="shared" si="7"/>
        <v>22</v>
      </c>
      <c r="BP9" s="74">
        <f t="shared" si="8"/>
        <v>0</v>
      </c>
    </row>
    <row r="10" spans="1:68" ht="8.25" customHeight="1">
      <c r="A10" s="1" t="s">
        <v>115</v>
      </c>
      <c r="B10" s="110">
        <v>32</v>
      </c>
      <c r="C10" s="13" t="s">
        <v>208</v>
      </c>
      <c r="D10" s="245">
        <v>1</v>
      </c>
      <c r="E10" s="138">
        <v>2530</v>
      </c>
      <c r="F10" s="103" t="s">
        <v>85</v>
      </c>
      <c r="G10" s="273" t="s">
        <v>209</v>
      </c>
      <c r="H10" s="110" t="s">
        <v>147</v>
      </c>
      <c r="I10" s="274" t="s">
        <v>167</v>
      </c>
      <c r="J10" s="110">
        <v>157</v>
      </c>
      <c r="K10" s="110" t="s">
        <v>147</v>
      </c>
      <c r="L10" s="110">
        <v>157</v>
      </c>
      <c r="M10" s="13"/>
      <c r="N10" s="252" t="s">
        <v>125</v>
      </c>
      <c r="O10" s="102"/>
      <c r="P10" s="110" t="s">
        <v>117</v>
      </c>
      <c r="Q10" s="110" t="s">
        <v>165</v>
      </c>
      <c r="R10" s="275">
        <v>1</v>
      </c>
      <c r="S10" s="110" t="s">
        <v>89</v>
      </c>
      <c r="T10" s="110" t="s">
        <v>118</v>
      </c>
      <c r="U10" s="110" t="s">
        <v>187</v>
      </c>
      <c r="V10" s="110" t="s">
        <v>89</v>
      </c>
      <c r="W10" s="245" t="s">
        <v>126</v>
      </c>
      <c r="X10" s="10" t="s">
        <v>91</v>
      </c>
      <c r="Y10" s="10" t="s">
        <v>190</v>
      </c>
      <c r="Z10" s="119">
        <v>0</v>
      </c>
      <c r="AA10" s="116">
        <v>0</v>
      </c>
      <c r="AB10" s="116">
        <v>0</v>
      </c>
      <c r="AC10" s="116">
        <v>0</v>
      </c>
      <c r="AD10" s="116">
        <v>0</v>
      </c>
      <c r="AE10" s="116">
        <v>0</v>
      </c>
      <c r="AF10" s="116" t="s">
        <v>57</v>
      </c>
      <c r="AG10" s="116" t="s">
        <v>57</v>
      </c>
      <c r="AH10" s="116">
        <v>0</v>
      </c>
      <c r="AI10" s="121">
        <v>0</v>
      </c>
      <c r="AJ10" s="115">
        <v>0</v>
      </c>
      <c r="AK10" s="116">
        <v>0</v>
      </c>
      <c r="AL10" s="116">
        <v>0</v>
      </c>
      <c r="AM10" s="117">
        <v>0</v>
      </c>
      <c r="AN10" s="116">
        <v>0</v>
      </c>
      <c r="AO10" s="116">
        <v>0</v>
      </c>
      <c r="AP10" s="116" t="s">
        <v>57</v>
      </c>
      <c r="AQ10" s="116" t="s">
        <v>57</v>
      </c>
      <c r="AR10" s="116">
        <v>0</v>
      </c>
      <c r="AS10" s="118">
        <v>0</v>
      </c>
      <c r="AT10" s="119">
        <v>0</v>
      </c>
      <c r="AU10" s="116">
        <v>22</v>
      </c>
      <c r="AV10" s="114" t="s">
        <v>93</v>
      </c>
      <c r="AW10" s="119" t="s">
        <v>52</v>
      </c>
      <c r="AX10" s="116" t="s">
        <v>99</v>
      </c>
      <c r="AY10" s="116">
        <v>1000</v>
      </c>
      <c r="AZ10" s="116" t="s">
        <v>100</v>
      </c>
      <c r="BA10" s="116">
        <v>0</v>
      </c>
      <c r="BB10" s="118" t="s">
        <v>65</v>
      </c>
      <c r="BC10" s="207">
        <v>22</v>
      </c>
      <c r="BD10" s="74"/>
      <c r="BE10" s="74" t="str">
        <f t="shared" si="0"/>
        <v/>
      </c>
      <c r="BF10" s="74" t="str">
        <f t="shared" si="1"/>
        <v/>
      </c>
      <c r="BG10" s="74" t="str">
        <f t="shared" si="2"/>
        <v/>
      </c>
      <c r="BH10" s="74"/>
      <c r="BI10" s="74"/>
      <c r="BJ10" s="74"/>
      <c r="BK10" s="74">
        <f t="shared" si="3"/>
        <v>22000</v>
      </c>
      <c r="BL10" s="74">
        <f t="shared" si="4"/>
        <v>22</v>
      </c>
      <c r="BM10" s="74">
        <f t="shared" si="5"/>
        <v>0</v>
      </c>
      <c r="BN10" s="74" t="str">
        <f t="shared" si="6"/>
        <v/>
      </c>
      <c r="BO10" s="74" t="str">
        <f t="shared" si="7"/>
        <v/>
      </c>
      <c r="BP10" s="74" t="str">
        <f t="shared" si="8"/>
        <v/>
      </c>
    </row>
    <row r="11" spans="1:68" ht="8.25" customHeight="1">
      <c r="A11" s="1" t="s">
        <v>115</v>
      </c>
      <c r="B11" s="110">
        <v>32</v>
      </c>
      <c r="C11" s="13" t="s">
        <v>208</v>
      </c>
      <c r="D11" s="245">
        <v>1</v>
      </c>
      <c r="E11" s="138">
        <v>2534</v>
      </c>
      <c r="F11" s="103" t="s">
        <v>85</v>
      </c>
      <c r="G11" s="273" t="s">
        <v>166</v>
      </c>
      <c r="H11" s="110" t="s">
        <v>147</v>
      </c>
      <c r="I11" s="274" t="s">
        <v>167</v>
      </c>
      <c r="J11" s="110">
        <v>157</v>
      </c>
      <c r="K11" s="110" t="s">
        <v>147</v>
      </c>
      <c r="L11" s="110">
        <v>157</v>
      </c>
      <c r="M11" s="13"/>
      <c r="N11" s="252" t="s">
        <v>125</v>
      </c>
      <c r="O11" s="102"/>
      <c r="P11" s="110" t="s">
        <v>117</v>
      </c>
      <c r="Q11" s="110" t="s">
        <v>165</v>
      </c>
      <c r="R11" s="275">
        <v>1</v>
      </c>
      <c r="S11" s="110" t="s">
        <v>89</v>
      </c>
      <c r="T11" s="110" t="s">
        <v>118</v>
      </c>
      <c r="U11" s="110" t="s">
        <v>187</v>
      </c>
      <c r="V11" s="110" t="s">
        <v>89</v>
      </c>
      <c r="W11" s="245" t="s">
        <v>126</v>
      </c>
      <c r="X11" s="10" t="s">
        <v>91</v>
      </c>
      <c r="Y11" s="10" t="s">
        <v>190</v>
      </c>
      <c r="Z11" s="119">
        <v>0</v>
      </c>
      <c r="AA11" s="116">
        <v>0</v>
      </c>
      <c r="AB11" s="116">
        <v>0</v>
      </c>
      <c r="AC11" s="116">
        <v>0</v>
      </c>
      <c r="AD11" s="116">
        <v>0</v>
      </c>
      <c r="AE11" s="116">
        <v>0</v>
      </c>
      <c r="AF11" s="116" t="s">
        <v>57</v>
      </c>
      <c r="AG11" s="116" t="s">
        <v>57</v>
      </c>
      <c r="AH11" s="116">
        <v>0</v>
      </c>
      <c r="AI11" s="121">
        <v>0</v>
      </c>
      <c r="AJ11" s="115">
        <v>0</v>
      </c>
      <c r="AK11" s="116">
        <v>0</v>
      </c>
      <c r="AL11" s="116">
        <v>0</v>
      </c>
      <c r="AM11" s="117">
        <v>0</v>
      </c>
      <c r="AN11" s="116">
        <v>0</v>
      </c>
      <c r="AO11" s="116">
        <v>0</v>
      </c>
      <c r="AP11" s="116" t="s">
        <v>57</v>
      </c>
      <c r="AQ11" s="116" t="s">
        <v>57</v>
      </c>
      <c r="AR11" s="116">
        <v>0</v>
      </c>
      <c r="AS11" s="118">
        <v>0</v>
      </c>
      <c r="AT11" s="119">
        <v>0</v>
      </c>
      <c r="AU11" s="116">
        <v>22</v>
      </c>
      <c r="AV11" s="114" t="s">
        <v>93</v>
      </c>
      <c r="AW11" s="119" t="s">
        <v>94</v>
      </c>
      <c r="AX11" s="116" t="s">
        <v>145</v>
      </c>
      <c r="AY11" s="116">
        <v>1000</v>
      </c>
      <c r="AZ11" s="116" t="s">
        <v>96</v>
      </c>
      <c r="BA11" s="116">
        <v>0</v>
      </c>
      <c r="BB11" s="118" t="s">
        <v>155</v>
      </c>
      <c r="BC11" s="207">
        <v>22</v>
      </c>
      <c r="BD11" s="74"/>
      <c r="BE11" s="74">
        <f t="shared" si="0"/>
        <v>22000</v>
      </c>
      <c r="BF11" s="74">
        <f t="shared" si="1"/>
        <v>22</v>
      </c>
      <c r="BG11" s="74">
        <f t="shared" si="2"/>
        <v>0</v>
      </c>
      <c r="BH11" s="74"/>
      <c r="BI11" s="74"/>
      <c r="BJ11" s="74"/>
      <c r="BK11" s="74" t="str">
        <f t="shared" si="3"/>
        <v/>
      </c>
      <c r="BL11" s="74" t="str">
        <f t="shared" si="4"/>
        <v/>
      </c>
      <c r="BM11" s="74" t="str">
        <f t="shared" si="5"/>
        <v/>
      </c>
      <c r="BN11" s="74" t="str">
        <f t="shared" si="6"/>
        <v/>
      </c>
      <c r="BO11" s="74" t="str">
        <f t="shared" si="7"/>
        <v/>
      </c>
      <c r="BP11" s="74" t="str">
        <f t="shared" si="8"/>
        <v/>
      </c>
    </row>
    <row r="12" spans="1:68" ht="8.25" customHeight="1">
      <c r="A12" s="1" t="s">
        <v>115</v>
      </c>
      <c r="B12" s="110">
        <v>32</v>
      </c>
      <c r="C12" s="13" t="s">
        <v>208</v>
      </c>
      <c r="D12" s="245">
        <v>1</v>
      </c>
      <c r="E12" s="138">
        <v>2539</v>
      </c>
      <c r="F12" s="103" t="s">
        <v>85</v>
      </c>
      <c r="G12" s="273" t="s">
        <v>166</v>
      </c>
      <c r="H12" s="110" t="s">
        <v>147</v>
      </c>
      <c r="I12" s="274" t="s">
        <v>167</v>
      </c>
      <c r="J12" s="110">
        <v>157</v>
      </c>
      <c r="K12" s="110" t="s">
        <v>147</v>
      </c>
      <c r="L12" s="110">
        <v>157</v>
      </c>
      <c r="M12" s="13"/>
      <c r="N12" s="252" t="s">
        <v>125</v>
      </c>
      <c r="O12" s="102"/>
      <c r="P12" s="110" t="s">
        <v>117</v>
      </c>
      <c r="Q12" s="110" t="s">
        <v>165</v>
      </c>
      <c r="R12" s="275">
        <v>1</v>
      </c>
      <c r="S12" s="110" t="s">
        <v>89</v>
      </c>
      <c r="T12" s="110" t="s">
        <v>118</v>
      </c>
      <c r="U12" s="110" t="s">
        <v>187</v>
      </c>
      <c r="V12" s="110" t="s">
        <v>89</v>
      </c>
      <c r="W12" s="245" t="s">
        <v>126</v>
      </c>
      <c r="X12" s="10" t="s">
        <v>91</v>
      </c>
      <c r="Y12" s="10" t="s">
        <v>190</v>
      </c>
      <c r="Z12" s="119">
        <v>0</v>
      </c>
      <c r="AA12" s="116">
        <v>0</v>
      </c>
      <c r="AB12" s="116">
        <v>0</v>
      </c>
      <c r="AC12" s="116">
        <v>0</v>
      </c>
      <c r="AD12" s="116">
        <v>0</v>
      </c>
      <c r="AE12" s="116">
        <v>0</v>
      </c>
      <c r="AF12" s="116" t="s">
        <v>57</v>
      </c>
      <c r="AG12" s="116" t="s">
        <v>57</v>
      </c>
      <c r="AH12" s="116">
        <v>0</v>
      </c>
      <c r="AI12" s="121">
        <v>0</v>
      </c>
      <c r="AJ12" s="115">
        <v>0</v>
      </c>
      <c r="AK12" s="116">
        <v>0</v>
      </c>
      <c r="AL12" s="116">
        <v>0</v>
      </c>
      <c r="AM12" s="117">
        <v>0</v>
      </c>
      <c r="AN12" s="116">
        <v>0</v>
      </c>
      <c r="AO12" s="116">
        <v>0</v>
      </c>
      <c r="AP12" s="116" t="s">
        <v>57</v>
      </c>
      <c r="AQ12" s="116" t="s">
        <v>57</v>
      </c>
      <c r="AR12" s="116">
        <v>0</v>
      </c>
      <c r="AS12" s="118">
        <v>0</v>
      </c>
      <c r="AT12" s="119">
        <v>0</v>
      </c>
      <c r="AU12" s="116">
        <v>22</v>
      </c>
      <c r="AV12" s="114" t="s">
        <v>93</v>
      </c>
      <c r="AW12" s="119" t="s">
        <v>58</v>
      </c>
      <c r="AX12" s="116" t="s">
        <v>226</v>
      </c>
      <c r="AY12" s="116">
        <v>96</v>
      </c>
      <c r="AZ12" s="116" t="s">
        <v>100</v>
      </c>
      <c r="BA12" s="116">
        <v>0</v>
      </c>
      <c r="BB12" s="118" t="s">
        <v>65</v>
      </c>
      <c r="BC12" s="207">
        <v>22</v>
      </c>
      <c r="BD12" s="74"/>
      <c r="BE12" s="74" t="str">
        <f t="shared" si="0"/>
        <v/>
      </c>
      <c r="BF12" s="74" t="str">
        <f t="shared" si="1"/>
        <v/>
      </c>
      <c r="BG12" s="74" t="str">
        <f t="shared" si="2"/>
        <v/>
      </c>
      <c r="BH12" s="74"/>
      <c r="BI12" s="74"/>
      <c r="BJ12" s="74"/>
      <c r="BK12" s="74" t="str">
        <f t="shared" si="3"/>
        <v/>
      </c>
      <c r="BL12" s="74" t="str">
        <f t="shared" si="4"/>
        <v/>
      </c>
      <c r="BM12" s="74" t="str">
        <f t="shared" si="5"/>
        <v/>
      </c>
      <c r="BN12" s="74">
        <f t="shared" si="6"/>
        <v>2112</v>
      </c>
      <c r="BO12" s="74">
        <f t="shared" si="7"/>
        <v>22</v>
      </c>
      <c r="BP12" s="74">
        <f t="shared" si="8"/>
        <v>0</v>
      </c>
    </row>
    <row r="13" spans="1:68" ht="8.25" customHeight="1">
      <c r="A13" s="122" t="s">
        <v>115</v>
      </c>
      <c r="B13" s="176">
        <v>32</v>
      </c>
      <c r="C13" s="118" t="s">
        <v>208</v>
      </c>
      <c r="D13" s="178">
        <v>1</v>
      </c>
      <c r="E13" s="209">
        <v>2543</v>
      </c>
      <c r="F13" s="121" t="s">
        <v>85</v>
      </c>
      <c r="G13" s="186" t="s">
        <v>166</v>
      </c>
      <c r="H13" s="176" t="s">
        <v>147</v>
      </c>
      <c r="I13" s="187" t="s">
        <v>167</v>
      </c>
      <c r="J13" s="176">
        <v>157</v>
      </c>
      <c r="K13" s="176" t="s">
        <v>147</v>
      </c>
      <c r="L13" s="176">
        <v>157</v>
      </c>
      <c r="M13" s="118"/>
      <c r="N13" s="181" t="s">
        <v>125</v>
      </c>
      <c r="O13" s="115"/>
      <c r="P13" s="176" t="s">
        <v>117</v>
      </c>
      <c r="Q13" s="176" t="s">
        <v>165</v>
      </c>
      <c r="R13" s="188">
        <v>1</v>
      </c>
      <c r="S13" s="176" t="s">
        <v>89</v>
      </c>
      <c r="T13" s="176" t="s">
        <v>118</v>
      </c>
      <c r="U13" s="176" t="s">
        <v>187</v>
      </c>
      <c r="V13" s="176" t="s">
        <v>89</v>
      </c>
      <c r="W13" s="178" t="s">
        <v>126</v>
      </c>
      <c r="X13" s="124" t="s">
        <v>91</v>
      </c>
      <c r="Y13" s="124" t="s">
        <v>190</v>
      </c>
      <c r="Z13" s="119">
        <v>0</v>
      </c>
      <c r="AA13" s="116">
        <v>0</v>
      </c>
      <c r="AB13" s="116">
        <v>0</v>
      </c>
      <c r="AC13" s="116">
        <v>0</v>
      </c>
      <c r="AD13" s="116">
        <v>0</v>
      </c>
      <c r="AE13" s="116">
        <v>0</v>
      </c>
      <c r="AF13" s="116" t="s">
        <v>57</v>
      </c>
      <c r="AG13" s="116" t="s">
        <v>57</v>
      </c>
      <c r="AH13" s="116">
        <v>0</v>
      </c>
      <c r="AI13" s="121">
        <v>0</v>
      </c>
      <c r="AJ13" s="115">
        <v>0</v>
      </c>
      <c r="AK13" s="116">
        <v>0</v>
      </c>
      <c r="AL13" s="116">
        <v>0</v>
      </c>
      <c r="AM13" s="117">
        <v>0</v>
      </c>
      <c r="AN13" s="116">
        <v>0</v>
      </c>
      <c r="AO13" s="116">
        <v>0</v>
      </c>
      <c r="AP13" s="116" t="s">
        <v>57</v>
      </c>
      <c r="AQ13" s="116" t="s">
        <v>57</v>
      </c>
      <c r="AR13" s="116">
        <v>0</v>
      </c>
      <c r="AS13" s="118">
        <v>0</v>
      </c>
      <c r="AT13" s="119">
        <v>0</v>
      </c>
      <c r="AU13" s="116">
        <v>22</v>
      </c>
      <c r="AV13" s="121" t="s">
        <v>93</v>
      </c>
      <c r="AW13" s="119" t="s">
        <v>52</v>
      </c>
      <c r="AX13" s="116" t="s">
        <v>155</v>
      </c>
      <c r="AY13" s="116"/>
      <c r="AZ13" s="116"/>
      <c r="BA13" s="116"/>
      <c r="BB13" s="118"/>
      <c r="BC13" s="207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</row>
    <row r="14" spans="1:68" ht="8.25" customHeight="1">
      <c r="A14" s="122" t="s">
        <v>115</v>
      </c>
      <c r="B14" s="176">
        <v>32</v>
      </c>
      <c r="C14" s="118" t="s">
        <v>208</v>
      </c>
      <c r="D14" s="178">
        <v>1</v>
      </c>
      <c r="E14" s="209">
        <v>2547</v>
      </c>
      <c r="F14" s="121" t="s">
        <v>85</v>
      </c>
      <c r="G14" s="186" t="s">
        <v>166</v>
      </c>
      <c r="H14" s="176" t="s">
        <v>147</v>
      </c>
      <c r="I14" s="187" t="s">
        <v>167</v>
      </c>
      <c r="J14" s="176">
        <v>157</v>
      </c>
      <c r="K14" s="176" t="s">
        <v>147</v>
      </c>
      <c r="L14" s="176">
        <v>157</v>
      </c>
      <c r="M14" s="118"/>
      <c r="N14" s="181" t="s">
        <v>125</v>
      </c>
      <c r="O14" s="115"/>
      <c r="P14" s="176" t="s">
        <v>117</v>
      </c>
      <c r="Q14" s="176" t="s">
        <v>165</v>
      </c>
      <c r="R14" s="188">
        <v>1</v>
      </c>
      <c r="S14" s="176" t="s">
        <v>89</v>
      </c>
      <c r="T14" s="176" t="s">
        <v>118</v>
      </c>
      <c r="U14" s="176" t="s">
        <v>187</v>
      </c>
      <c r="V14" s="176" t="s">
        <v>89</v>
      </c>
      <c r="W14" s="178" t="s">
        <v>126</v>
      </c>
      <c r="X14" s="124" t="s">
        <v>91</v>
      </c>
      <c r="Y14" s="124" t="s">
        <v>190</v>
      </c>
      <c r="Z14" s="119" t="s">
        <v>57</v>
      </c>
      <c r="AA14" s="116" t="s">
        <v>57</v>
      </c>
      <c r="AB14" s="116" t="s">
        <v>57</v>
      </c>
      <c r="AC14" s="116" t="s">
        <v>57</v>
      </c>
      <c r="AD14" s="116" t="s">
        <v>57</v>
      </c>
      <c r="AE14" s="116" t="s">
        <v>57</v>
      </c>
      <c r="AF14" s="116" t="s">
        <v>57</v>
      </c>
      <c r="AG14" s="116" t="s">
        <v>57</v>
      </c>
      <c r="AH14" s="116" t="s">
        <v>57</v>
      </c>
      <c r="AI14" s="121" t="s">
        <v>57</v>
      </c>
      <c r="AJ14" s="115" t="s">
        <v>57</v>
      </c>
      <c r="AK14" s="116" t="s">
        <v>57</v>
      </c>
      <c r="AL14" s="116" t="s">
        <v>57</v>
      </c>
      <c r="AM14" s="117" t="s">
        <v>57</v>
      </c>
      <c r="AN14" s="116" t="s">
        <v>57</v>
      </c>
      <c r="AO14" s="116" t="s">
        <v>57</v>
      </c>
      <c r="AP14" s="116" t="s">
        <v>57</v>
      </c>
      <c r="AQ14" s="116" t="s">
        <v>57</v>
      </c>
      <c r="AR14" s="116" t="s">
        <v>57</v>
      </c>
      <c r="AS14" s="118" t="s">
        <v>57</v>
      </c>
      <c r="AT14" s="119" t="s">
        <v>57</v>
      </c>
      <c r="AU14" s="116" t="s">
        <v>57</v>
      </c>
      <c r="AV14" s="114" t="s">
        <v>155</v>
      </c>
      <c r="AW14" s="119"/>
      <c r="AX14" s="116"/>
      <c r="AY14" s="116"/>
      <c r="AZ14" s="116"/>
      <c r="BA14" s="116"/>
      <c r="BB14" s="118"/>
      <c r="BC14" s="207"/>
      <c r="BD14" s="74"/>
      <c r="BE14" s="74" t="str">
        <f t="shared" si="0"/>
        <v/>
      </c>
      <c r="BF14" s="74" t="str">
        <f t="shared" si="1"/>
        <v/>
      </c>
      <c r="BG14" s="74" t="str">
        <f t="shared" si="2"/>
        <v/>
      </c>
      <c r="BH14" s="74"/>
      <c r="BI14" s="74"/>
      <c r="BJ14" s="74"/>
      <c r="BK14" s="74" t="str">
        <f t="shared" si="3"/>
        <v/>
      </c>
      <c r="BL14" s="74" t="str">
        <f t="shared" si="4"/>
        <v/>
      </c>
      <c r="BM14" s="74" t="str">
        <f t="shared" si="5"/>
        <v/>
      </c>
      <c r="BN14" s="74" t="str">
        <f t="shared" si="6"/>
        <v/>
      </c>
      <c r="BO14" s="74" t="str">
        <f t="shared" si="7"/>
        <v/>
      </c>
      <c r="BP14" s="74" t="str">
        <f t="shared" si="8"/>
        <v/>
      </c>
    </row>
    <row r="15" spans="1:68" ht="8.25" customHeight="1">
      <c r="A15" s="1"/>
      <c r="B15" s="110"/>
      <c r="C15" s="13"/>
      <c r="D15" s="245"/>
      <c r="E15" s="138"/>
      <c r="F15" s="103"/>
      <c r="G15" s="273"/>
      <c r="H15" s="110"/>
      <c r="I15" s="274"/>
      <c r="J15" s="110"/>
      <c r="K15" s="110"/>
      <c r="L15" s="110"/>
      <c r="M15" s="13"/>
      <c r="N15" s="252"/>
      <c r="O15" s="102"/>
      <c r="P15" s="110"/>
      <c r="Q15" s="110"/>
      <c r="R15" s="275"/>
      <c r="S15" s="110"/>
      <c r="T15" s="110"/>
      <c r="U15" s="110"/>
      <c r="V15" s="110"/>
      <c r="W15" s="245"/>
      <c r="X15" s="10"/>
      <c r="Y15" s="10"/>
      <c r="Z15" s="11"/>
      <c r="AA15" s="12"/>
      <c r="AB15" s="12"/>
      <c r="AC15" s="12"/>
      <c r="AD15" s="12"/>
      <c r="AE15" s="12"/>
      <c r="AF15" s="12"/>
      <c r="AG15" s="12"/>
      <c r="AH15" s="12"/>
      <c r="AI15" s="103"/>
      <c r="AJ15" s="102"/>
      <c r="AK15" s="12"/>
      <c r="AL15" s="12"/>
      <c r="AM15" s="12"/>
      <c r="AN15" s="12"/>
      <c r="AO15" s="12"/>
      <c r="AP15" s="12"/>
      <c r="AQ15" s="12"/>
      <c r="AR15" s="12"/>
      <c r="AS15" s="13"/>
      <c r="AT15" s="11"/>
      <c r="AU15" s="12"/>
      <c r="AV15" s="103"/>
      <c r="AW15" s="11"/>
      <c r="AX15" s="12"/>
      <c r="AY15" s="12"/>
      <c r="AZ15" s="12"/>
      <c r="BA15" s="12"/>
      <c r="BB15" s="13"/>
      <c r="BC15" s="276"/>
      <c r="BD15" s="74"/>
      <c r="BE15" s="74" t="str">
        <f t="shared" si="0"/>
        <v/>
      </c>
      <c r="BF15" s="74" t="str">
        <f t="shared" si="1"/>
        <v/>
      </c>
      <c r="BG15" s="74" t="str">
        <f t="shared" si="2"/>
        <v/>
      </c>
      <c r="BH15" s="74"/>
      <c r="BI15" s="74"/>
      <c r="BJ15" s="74"/>
      <c r="BK15" s="74" t="str">
        <f t="shared" si="3"/>
        <v/>
      </c>
      <c r="BL15" s="74" t="str">
        <f t="shared" si="4"/>
        <v/>
      </c>
      <c r="BM15" s="74" t="str">
        <f t="shared" si="5"/>
        <v/>
      </c>
      <c r="BN15" s="74" t="str">
        <f t="shared" si="6"/>
        <v/>
      </c>
      <c r="BO15" s="74" t="str">
        <f t="shared" si="7"/>
        <v/>
      </c>
      <c r="BP15" s="74" t="str">
        <f t="shared" si="8"/>
        <v/>
      </c>
    </row>
    <row r="16" spans="1:68" ht="8.25" customHeight="1">
      <c r="A16" s="1"/>
      <c r="B16" s="110"/>
      <c r="C16" s="13"/>
      <c r="D16" s="245"/>
      <c r="E16" s="138"/>
      <c r="F16" s="103"/>
      <c r="G16" s="273"/>
      <c r="H16" s="110"/>
      <c r="I16" s="274"/>
      <c r="J16" s="110"/>
      <c r="K16" s="110"/>
      <c r="L16" s="110"/>
      <c r="M16" s="13"/>
      <c r="N16" s="252"/>
      <c r="O16" s="102"/>
      <c r="P16" s="110"/>
      <c r="Q16" s="110"/>
      <c r="R16" s="110"/>
      <c r="S16" s="110"/>
      <c r="T16" s="110"/>
      <c r="U16" s="110"/>
      <c r="V16" s="110"/>
      <c r="W16" s="245"/>
      <c r="X16" s="10"/>
      <c r="Y16" s="10"/>
      <c r="Z16" s="11"/>
      <c r="AA16" s="12"/>
      <c r="AB16" s="12"/>
      <c r="AC16" s="12"/>
      <c r="AD16" s="12"/>
      <c r="AE16" s="12"/>
      <c r="AF16" s="12"/>
      <c r="AG16" s="12"/>
      <c r="AH16" s="12"/>
      <c r="AI16" s="103"/>
      <c r="AJ16" s="102"/>
      <c r="AK16" s="12"/>
      <c r="AL16" s="12"/>
      <c r="AM16" s="12"/>
      <c r="AN16" s="12"/>
      <c r="AO16" s="12"/>
      <c r="AP16" s="12"/>
      <c r="AQ16" s="12"/>
      <c r="AR16" s="12"/>
      <c r="AS16" s="13"/>
      <c r="AT16" s="11"/>
      <c r="AU16" s="12"/>
      <c r="AV16" s="103"/>
      <c r="AW16" s="11"/>
      <c r="AX16" s="12"/>
      <c r="AY16" s="12"/>
      <c r="AZ16" s="12"/>
      <c r="BA16" s="12"/>
      <c r="BB16" s="13"/>
      <c r="BC16" s="276"/>
      <c r="BD16" s="74"/>
      <c r="BE16" s="74" t="str">
        <f t="shared" si="0"/>
        <v/>
      </c>
      <c r="BF16" s="74" t="str">
        <f t="shared" si="1"/>
        <v/>
      </c>
      <c r="BG16" s="74" t="str">
        <f t="shared" si="2"/>
        <v/>
      </c>
      <c r="BH16" s="74"/>
      <c r="BI16" s="74"/>
      <c r="BJ16" s="74"/>
      <c r="BK16" s="74" t="str">
        <f t="shared" si="3"/>
        <v/>
      </c>
      <c r="BL16" s="74" t="str">
        <f t="shared" si="4"/>
        <v/>
      </c>
      <c r="BM16" s="74" t="str">
        <f t="shared" si="5"/>
        <v/>
      </c>
      <c r="BN16" s="74" t="str">
        <f t="shared" si="6"/>
        <v/>
      </c>
      <c r="BO16" s="74" t="str">
        <f t="shared" si="7"/>
        <v/>
      </c>
      <c r="BP16" s="74" t="str">
        <f t="shared" si="8"/>
        <v/>
      </c>
    </row>
    <row r="17" spans="1:68" ht="8.25" customHeight="1">
      <c r="A17" s="1"/>
      <c r="B17" s="110"/>
      <c r="C17" s="13"/>
      <c r="D17" s="245"/>
      <c r="E17" s="138"/>
      <c r="F17" s="103"/>
      <c r="G17" s="273"/>
      <c r="H17" s="110"/>
      <c r="I17" s="274"/>
      <c r="J17" s="110"/>
      <c r="K17" s="110"/>
      <c r="L17" s="110"/>
      <c r="M17" s="13"/>
      <c r="N17" s="252"/>
      <c r="O17" s="102"/>
      <c r="P17" s="110"/>
      <c r="Q17" s="110"/>
      <c r="R17" s="110"/>
      <c r="S17" s="110"/>
      <c r="T17" s="110"/>
      <c r="U17" s="110"/>
      <c r="V17" s="110"/>
      <c r="W17" s="245"/>
      <c r="X17" s="10"/>
      <c r="Y17" s="10"/>
      <c r="Z17" s="11"/>
      <c r="AA17" s="12"/>
      <c r="AB17" s="12"/>
      <c r="AC17" s="12"/>
      <c r="AD17" s="12"/>
      <c r="AE17" s="12"/>
      <c r="AF17" s="12"/>
      <c r="AG17" s="12"/>
      <c r="AH17" s="12"/>
      <c r="AI17" s="103"/>
      <c r="AJ17" s="102"/>
      <c r="AK17" s="12"/>
      <c r="AL17" s="12"/>
      <c r="AM17" s="12"/>
      <c r="AN17" s="12"/>
      <c r="AO17" s="12"/>
      <c r="AP17" s="12"/>
      <c r="AQ17" s="12"/>
      <c r="AR17" s="12"/>
      <c r="AS17" s="13"/>
      <c r="AT17" s="11"/>
      <c r="AU17" s="12"/>
      <c r="AV17" s="103"/>
      <c r="AW17" s="11"/>
      <c r="AX17" s="12"/>
      <c r="AY17" s="12"/>
      <c r="AZ17" s="12"/>
      <c r="BA17" s="12"/>
      <c r="BB17" s="13"/>
      <c r="BC17" s="276"/>
      <c r="BD17" s="74"/>
      <c r="BE17" s="74" t="str">
        <f t="shared" si="0"/>
        <v/>
      </c>
      <c r="BF17" s="74" t="str">
        <f t="shared" si="1"/>
        <v/>
      </c>
      <c r="BG17" s="74" t="str">
        <f t="shared" si="2"/>
        <v/>
      </c>
      <c r="BH17" s="74"/>
      <c r="BI17" s="74"/>
      <c r="BJ17" s="74"/>
      <c r="BK17" s="74" t="str">
        <f t="shared" si="3"/>
        <v/>
      </c>
      <c r="BL17" s="74" t="str">
        <f t="shared" si="4"/>
        <v/>
      </c>
      <c r="BM17" s="74" t="str">
        <f t="shared" si="5"/>
        <v/>
      </c>
      <c r="BN17" s="74" t="str">
        <f t="shared" si="6"/>
        <v/>
      </c>
      <c r="BO17" s="74" t="str">
        <f t="shared" si="7"/>
        <v/>
      </c>
      <c r="BP17" s="74" t="str">
        <f t="shared" si="8"/>
        <v/>
      </c>
    </row>
    <row r="18" spans="1:68" ht="8.25" customHeight="1">
      <c r="A18" s="1"/>
      <c r="B18" s="110"/>
      <c r="C18" s="13"/>
      <c r="D18" s="245"/>
      <c r="E18" s="138"/>
      <c r="F18" s="103"/>
      <c r="G18" s="273"/>
      <c r="H18" s="110"/>
      <c r="I18" s="274"/>
      <c r="J18" s="110"/>
      <c r="K18" s="110"/>
      <c r="L18" s="110"/>
      <c r="M18" s="13"/>
      <c r="N18" s="252"/>
      <c r="O18" s="102"/>
      <c r="P18" s="110"/>
      <c r="Q18" s="110"/>
      <c r="R18" s="110"/>
      <c r="S18" s="110"/>
      <c r="T18" s="110"/>
      <c r="U18" s="110"/>
      <c r="V18" s="110"/>
      <c r="W18" s="245"/>
      <c r="X18" s="10"/>
      <c r="Y18" s="10"/>
      <c r="Z18" s="11"/>
      <c r="AA18" s="12"/>
      <c r="AB18" s="12"/>
      <c r="AC18" s="12"/>
      <c r="AD18" s="12"/>
      <c r="AE18" s="12"/>
      <c r="AF18" s="12"/>
      <c r="AG18" s="12"/>
      <c r="AH18" s="12"/>
      <c r="AI18" s="103"/>
      <c r="AJ18" s="102"/>
      <c r="AK18" s="12"/>
      <c r="AL18" s="12"/>
      <c r="AM18" s="12"/>
      <c r="AN18" s="12"/>
      <c r="AO18" s="12"/>
      <c r="AP18" s="12"/>
      <c r="AQ18" s="12"/>
      <c r="AR18" s="12"/>
      <c r="AS18" s="13"/>
      <c r="AT18" s="11"/>
      <c r="AU18" s="12"/>
      <c r="AV18" s="103"/>
      <c r="AW18" s="11"/>
      <c r="AX18" s="12"/>
      <c r="AY18" s="12"/>
      <c r="AZ18" s="12"/>
      <c r="BA18" s="12"/>
      <c r="BB18" s="13"/>
      <c r="BC18" s="276"/>
      <c r="BD18" s="74"/>
      <c r="BE18" s="74" t="str">
        <f t="shared" si="0"/>
        <v/>
      </c>
      <c r="BF18" s="74" t="str">
        <f t="shared" si="1"/>
        <v/>
      </c>
      <c r="BG18" s="74" t="str">
        <f t="shared" si="2"/>
        <v/>
      </c>
      <c r="BH18" s="74"/>
      <c r="BI18" s="74"/>
      <c r="BJ18" s="74"/>
      <c r="BK18" s="74" t="str">
        <f t="shared" si="3"/>
        <v/>
      </c>
      <c r="BL18" s="74" t="str">
        <f t="shared" si="4"/>
        <v/>
      </c>
      <c r="BM18" s="74" t="str">
        <f t="shared" si="5"/>
        <v/>
      </c>
      <c r="BN18" s="74" t="str">
        <f t="shared" si="6"/>
        <v/>
      </c>
      <c r="BO18" s="74" t="str">
        <f t="shared" si="7"/>
        <v/>
      </c>
      <c r="BP18" s="74" t="str">
        <f t="shared" si="8"/>
        <v/>
      </c>
    </row>
    <row r="19" spans="1:68" ht="8.25" customHeight="1">
      <c r="A19" s="1"/>
      <c r="B19" s="110"/>
      <c r="C19" s="13"/>
      <c r="D19" s="245"/>
      <c r="E19" s="138"/>
      <c r="F19" s="103"/>
      <c r="G19" s="273"/>
      <c r="H19" s="110"/>
      <c r="I19" s="274"/>
      <c r="J19" s="110"/>
      <c r="K19" s="110"/>
      <c r="L19" s="110"/>
      <c r="M19" s="13"/>
      <c r="N19" s="252"/>
      <c r="O19" s="102"/>
      <c r="P19" s="110"/>
      <c r="Q19" s="110"/>
      <c r="R19" s="110"/>
      <c r="S19" s="110"/>
      <c r="T19" s="110"/>
      <c r="U19" s="110"/>
      <c r="V19" s="110"/>
      <c r="W19" s="245"/>
      <c r="X19" s="10"/>
      <c r="Y19" s="10"/>
      <c r="Z19" s="11"/>
      <c r="AA19" s="12"/>
      <c r="AB19" s="12"/>
      <c r="AC19" s="12"/>
      <c r="AD19" s="12"/>
      <c r="AE19" s="12"/>
      <c r="AF19" s="12"/>
      <c r="AG19" s="12"/>
      <c r="AH19" s="12"/>
      <c r="AI19" s="103"/>
      <c r="AJ19" s="102"/>
      <c r="AK19" s="12"/>
      <c r="AL19" s="12"/>
      <c r="AM19" s="12"/>
      <c r="AN19" s="12"/>
      <c r="AO19" s="12"/>
      <c r="AP19" s="12"/>
      <c r="AQ19" s="12"/>
      <c r="AR19" s="12"/>
      <c r="AS19" s="13"/>
      <c r="AT19" s="11"/>
      <c r="AU19" s="12"/>
      <c r="AV19" s="103"/>
      <c r="AW19" s="11"/>
      <c r="AX19" s="12"/>
      <c r="AY19" s="12"/>
      <c r="AZ19" s="12"/>
      <c r="BA19" s="12"/>
      <c r="BB19" s="13"/>
      <c r="BC19" s="276"/>
      <c r="BD19" s="74"/>
      <c r="BE19" s="74" t="str">
        <f t="shared" si="0"/>
        <v/>
      </c>
      <c r="BF19" s="74" t="str">
        <f t="shared" si="1"/>
        <v/>
      </c>
      <c r="BG19" s="74" t="str">
        <f t="shared" si="2"/>
        <v/>
      </c>
      <c r="BH19" s="74"/>
      <c r="BI19" s="74"/>
      <c r="BJ19" s="74"/>
      <c r="BK19" s="74" t="str">
        <f t="shared" si="3"/>
        <v/>
      </c>
      <c r="BL19" s="74" t="str">
        <f t="shared" si="4"/>
        <v/>
      </c>
      <c r="BM19" s="74" t="str">
        <f t="shared" si="5"/>
        <v/>
      </c>
      <c r="BN19" s="74" t="str">
        <f t="shared" si="6"/>
        <v/>
      </c>
      <c r="BO19" s="74" t="str">
        <f t="shared" si="7"/>
        <v/>
      </c>
      <c r="BP19" s="74" t="str">
        <f t="shared" si="8"/>
        <v/>
      </c>
    </row>
    <row r="20" spans="1:68" ht="8.25" customHeight="1">
      <c r="A20" s="1"/>
      <c r="B20" s="110"/>
      <c r="C20" s="13"/>
      <c r="D20" s="245"/>
      <c r="E20" s="138"/>
      <c r="F20" s="103"/>
      <c r="G20" s="273"/>
      <c r="H20" s="110"/>
      <c r="I20" s="274"/>
      <c r="J20" s="110"/>
      <c r="K20" s="110"/>
      <c r="L20" s="110"/>
      <c r="M20" s="13"/>
      <c r="N20" s="252"/>
      <c r="O20" s="102"/>
      <c r="P20" s="110"/>
      <c r="Q20" s="110"/>
      <c r="R20" s="110"/>
      <c r="S20" s="110"/>
      <c r="T20" s="110"/>
      <c r="U20" s="110"/>
      <c r="V20" s="110"/>
      <c r="W20" s="245"/>
      <c r="X20" s="10"/>
      <c r="Y20" s="10"/>
      <c r="Z20" s="11"/>
      <c r="AA20" s="12"/>
      <c r="AB20" s="12"/>
      <c r="AC20" s="12"/>
      <c r="AD20" s="12"/>
      <c r="AE20" s="12"/>
      <c r="AF20" s="12"/>
      <c r="AG20" s="12"/>
      <c r="AH20" s="12"/>
      <c r="AI20" s="103"/>
      <c r="AJ20" s="102"/>
      <c r="AK20" s="12"/>
      <c r="AL20" s="12"/>
      <c r="AM20" s="12"/>
      <c r="AN20" s="12"/>
      <c r="AO20" s="12"/>
      <c r="AP20" s="12"/>
      <c r="AQ20" s="12"/>
      <c r="AR20" s="12"/>
      <c r="AS20" s="13"/>
      <c r="AT20" s="11"/>
      <c r="AU20" s="12"/>
      <c r="AV20" s="103"/>
      <c r="AW20" s="11"/>
      <c r="AX20" s="12"/>
      <c r="AY20" s="12"/>
      <c r="AZ20" s="12"/>
      <c r="BA20" s="12"/>
      <c r="BB20" s="13"/>
      <c r="BC20" s="276"/>
      <c r="BD20" s="74"/>
      <c r="BE20" s="74" t="str">
        <f t="shared" si="0"/>
        <v/>
      </c>
      <c r="BF20" s="74" t="str">
        <f t="shared" si="1"/>
        <v/>
      </c>
      <c r="BG20" s="74" t="str">
        <f t="shared" si="2"/>
        <v/>
      </c>
      <c r="BH20" s="74"/>
      <c r="BI20" s="74"/>
      <c r="BJ20" s="74"/>
      <c r="BK20" s="74" t="str">
        <f t="shared" si="3"/>
        <v/>
      </c>
      <c r="BL20" s="74" t="str">
        <f t="shared" si="4"/>
        <v/>
      </c>
      <c r="BM20" s="74" t="str">
        <f t="shared" si="5"/>
        <v/>
      </c>
      <c r="BN20" s="74" t="str">
        <f t="shared" si="6"/>
        <v/>
      </c>
      <c r="BO20" s="74" t="str">
        <f t="shared" si="7"/>
        <v/>
      </c>
      <c r="BP20" s="74" t="str">
        <f t="shared" si="8"/>
        <v/>
      </c>
    </row>
    <row r="21" spans="1:68" ht="8.25" customHeight="1">
      <c r="A21" s="1"/>
      <c r="B21" s="110"/>
      <c r="C21" s="13"/>
      <c r="D21" s="245"/>
      <c r="E21" s="138"/>
      <c r="F21" s="103"/>
      <c r="G21" s="273"/>
      <c r="H21" s="110"/>
      <c r="I21" s="274"/>
      <c r="J21" s="110"/>
      <c r="K21" s="110"/>
      <c r="L21" s="110"/>
      <c r="M21" s="13"/>
      <c r="N21" s="252"/>
      <c r="O21" s="102"/>
      <c r="P21" s="110"/>
      <c r="Q21" s="110"/>
      <c r="R21" s="110"/>
      <c r="S21" s="110"/>
      <c r="T21" s="110"/>
      <c r="U21" s="110"/>
      <c r="V21" s="110"/>
      <c r="W21" s="245"/>
      <c r="X21" s="10"/>
      <c r="Y21" s="10"/>
      <c r="Z21" s="11"/>
      <c r="AA21" s="12"/>
      <c r="AB21" s="12"/>
      <c r="AC21" s="12"/>
      <c r="AD21" s="12"/>
      <c r="AE21" s="12"/>
      <c r="AF21" s="12"/>
      <c r="AG21" s="12"/>
      <c r="AH21" s="12"/>
      <c r="AI21" s="103"/>
      <c r="AJ21" s="102"/>
      <c r="AK21" s="12"/>
      <c r="AL21" s="12"/>
      <c r="AM21" s="12"/>
      <c r="AN21" s="12"/>
      <c r="AO21" s="12"/>
      <c r="AP21" s="12"/>
      <c r="AQ21" s="12"/>
      <c r="AR21" s="12"/>
      <c r="AS21" s="13"/>
      <c r="AT21" s="11"/>
      <c r="AU21" s="12"/>
      <c r="AV21" s="103"/>
      <c r="AW21" s="11"/>
      <c r="AX21" s="12"/>
      <c r="AY21" s="12"/>
      <c r="AZ21" s="12"/>
      <c r="BA21" s="12"/>
      <c r="BB21" s="13"/>
      <c r="BC21" s="276"/>
      <c r="BD21" s="74"/>
      <c r="BE21" s="74" t="str">
        <f t="shared" si="0"/>
        <v/>
      </c>
      <c r="BF21" s="74" t="str">
        <f t="shared" si="1"/>
        <v/>
      </c>
      <c r="BG21" s="74" t="str">
        <f t="shared" si="2"/>
        <v/>
      </c>
      <c r="BH21" s="74"/>
      <c r="BI21" s="74"/>
      <c r="BJ21" s="74"/>
      <c r="BK21" s="74" t="str">
        <f t="shared" si="3"/>
        <v/>
      </c>
      <c r="BL21" s="74" t="str">
        <f t="shared" si="4"/>
        <v/>
      </c>
      <c r="BM21" s="74" t="str">
        <f t="shared" si="5"/>
        <v/>
      </c>
      <c r="BN21" s="74" t="str">
        <f t="shared" si="6"/>
        <v/>
      </c>
      <c r="BO21" s="74" t="str">
        <f t="shared" si="7"/>
        <v/>
      </c>
      <c r="BP21" s="74" t="str">
        <f t="shared" si="8"/>
        <v/>
      </c>
    </row>
    <row r="22" spans="1:68" ht="8.25" customHeight="1">
      <c r="A22" s="1"/>
      <c r="B22" s="110"/>
      <c r="C22" s="13"/>
      <c r="D22" s="245"/>
      <c r="E22" s="138"/>
      <c r="F22" s="103"/>
      <c r="G22" s="273"/>
      <c r="H22" s="110"/>
      <c r="I22" s="274"/>
      <c r="J22" s="110"/>
      <c r="K22" s="110"/>
      <c r="L22" s="110"/>
      <c r="M22" s="13"/>
      <c r="N22" s="252"/>
      <c r="O22" s="102"/>
      <c r="P22" s="110"/>
      <c r="Q22" s="110"/>
      <c r="R22" s="110"/>
      <c r="S22" s="110"/>
      <c r="T22" s="110"/>
      <c r="U22" s="110"/>
      <c r="V22" s="110"/>
      <c r="W22" s="245"/>
      <c r="X22" s="10"/>
      <c r="Y22" s="10"/>
      <c r="Z22" s="11"/>
      <c r="AA22" s="12"/>
      <c r="AB22" s="12"/>
      <c r="AC22" s="12"/>
      <c r="AD22" s="12"/>
      <c r="AE22" s="12"/>
      <c r="AF22" s="12"/>
      <c r="AG22" s="12"/>
      <c r="AH22" s="12"/>
      <c r="AI22" s="103"/>
      <c r="AJ22" s="102"/>
      <c r="AK22" s="12"/>
      <c r="AL22" s="12"/>
      <c r="AM22" s="12"/>
      <c r="AN22" s="12"/>
      <c r="AO22" s="12"/>
      <c r="AP22" s="12"/>
      <c r="AQ22" s="12"/>
      <c r="AR22" s="12"/>
      <c r="AS22" s="13"/>
      <c r="AT22" s="11"/>
      <c r="AU22" s="12"/>
      <c r="AV22" s="103"/>
      <c r="AW22" s="11"/>
      <c r="AX22" s="12"/>
      <c r="AY22" s="12"/>
      <c r="AZ22" s="12"/>
      <c r="BA22" s="12"/>
      <c r="BB22" s="13"/>
      <c r="BC22" s="276"/>
      <c r="BD22" s="74"/>
      <c r="BE22" s="74" t="str">
        <f t="shared" si="0"/>
        <v/>
      </c>
      <c r="BF22" s="74" t="str">
        <f t="shared" si="1"/>
        <v/>
      </c>
      <c r="BG22" s="74" t="str">
        <f t="shared" si="2"/>
        <v/>
      </c>
      <c r="BH22" s="74"/>
      <c r="BI22" s="74"/>
      <c r="BJ22" s="74"/>
      <c r="BK22" s="74" t="str">
        <f t="shared" si="3"/>
        <v/>
      </c>
      <c r="BL22" s="74" t="str">
        <f t="shared" si="4"/>
        <v/>
      </c>
      <c r="BM22" s="74" t="str">
        <f t="shared" si="5"/>
        <v/>
      </c>
      <c r="BN22" s="74" t="str">
        <f t="shared" si="6"/>
        <v/>
      </c>
      <c r="BO22" s="74" t="str">
        <f t="shared" si="7"/>
        <v/>
      </c>
      <c r="BP22" s="74" t="str">
        <f t="shared" si="8"/>
        <v/>
      </c>
    </row>
    <row r="23" spans="1:68" ht="8.25" customHeight="1" thickBot="1">
      <c r="A23" s="31"/>
      <c r="B23" s="39"/>
      <c r="C23" s="40"/>
      <c r="D23" s="40"/>
      <c r="E23" s="43"/>
      <c r="F23" s="105"/>
      <c r="G23" s="106"/>
      <c r="H23" s="39"/>
      <c r="I23" s="39"/>
      <c r="J23" s="39"/>
      <c r="K23" s="39"/>
      <c r="L23" s="39"/>
      <c r="M23" s="40"/>
      <c r="N23" s="42"/>
      <c r="O23" s="106"/>
      <c r="P23" s="39"/>
      <c r="Q23" s="39"/>
      <c r="R23" s="39"/>
      <c r="S23" s="39"/>
      <c r="T23" s="39"/>
      <c r="U23" s="39"/>
      <c r="V23" s="39"/>
      <c r="W23" s="40"/>
      <c r="X23" s="277"/>
      <c r="Y23" s="42"/>
      <c r="Z23" s="43"/>
      <c r="AA23" s="39"/>
      <c r="AB23" s="39"/>
      <c r="AC23" s="39"/>
      <c r="AD23" s="39"/>
      <c r="AE23" s="39"/>
      <c r="AF23" s="39"/>
      <c r="AG23" s="39"/>
      <c r="AH23" s="39"/>
      <c r="AI23" s="105"/>
      <c r="AJ23" s="106"/>
      <c r="AK23" s="39"/>
      <c r="AL23" s="39"/>
      <c r="AM23" s="39"/>
      <c r="AN23" s="39"/>
      <c r="AO23" s="39"/>
      <c r="AP23" s="39"/>
      <c r="AQ23" s="39"/>
      <c r="AR23" s="39"/>
      <c r="AS23" s="40"/>
      <c r="AT23" s="43"/>
      <c r="AU23" s="39"/>
      <c r="AV23" s="105"/>
      <c r="AW23" s="106"/>
      <c r="AX23" s="39"/>
      <c r="AY23" s="39"/>
      <c r="AZ23" s="39"/>
      <c r="BA23" s="39"/>
      <c r="BB23" s="40"/>
      <c r="BC23" s="278"/>
      <c r="BD23" s="74"/>
      <c r="BE23" s="74" t="str">
        <f t="shared" si="0"/>
        <v/>
      </c>
      <c r="BF23" s="74" t="str">
        <f t="shared" si="1"/>
        <v/>
      </c>
      <c r="BG23" s="74" t="str">
        <f t="shared" si="2"/>
        <v/>
      </c>
      <c r="BH23" s="74"/>
      <c r="BI23" s="74"/>
      <c r="BJ23" s="74"/>
      <c r="BK23" s="74" t="str">
        <f t="shared" si="3"/>
        <v/>
      </c>
      <c r="BL23" s="74" t="str">
        <f t="shared" si="4"/>
        <v/>
      </c>
      <c r="BM23" s="74" t="str">
        <f t="shared" si="5"/>
        <v/>
      </c>
      <c r="BN23" s="74" t="str">
        <f t="shared" si="6"/>
        <v/>
      </c>
      <c r="BO23" s="74" t="str">
        <f t="shared" si="7"/>
        <v/>
      </c>
      <c r="BP23" s="74" t="str">
        <f t="shared" si="8"/>
        <v/>
      </c>
    </row>
    <row r="24" spans="1:68" ht="9" customHeight="1" thickBo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429"/>
      <c r="N24" s="332"/>
      <c r="O24" s="332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</row>
    <row r="25" spans="1:68" ht="8.2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429"/>
      <c r="N25" s="332"/>
      <c r="O25" s="332"/>
      <c r="P25" s="74"/>
      <c r="Q25" s="74"/>
      <c r="R25" s="74"/>
      <c r="S25" s="74"/>
      <c r="T25" s="74"/>
      <c r="U25" s="74"/>
      <c r="V25" s="74"/>
      <c r="W25" s="74"/>
      <c r="X25" s="74"/>
      <c r="Y25" s="279" t="s">
        <v>59</v>
      </c>
      <c r="Z25" s="280">
        <f>AVERAGE(Z$5:Z23)</f>
        <v>0</v>
      </c>
      <c r="AA25" s="280">
        <f>AVERAGE(AA$5:AA23)</f>
        <v>0</v>
      </c>
      <c r="AB25" s="280">
        <f>AVERAGE(AB$5:AB23)</f>
        <v>0</v>
      </c>
      <c r="AC25" s="280">
        <f>AVERAGE(AC$5:AC23)</f>
        <v>0</v>
      </c>
      <c r="AD25" s="280">
        <f>AVERAGE(AD$5:AD23)</f>
        <v>0</v>
      </c>
      <c r="AE25" s="280">
        <f>AVERAGE(AE$5:AE23)</f>
        <v>0</v>
      </c>
      <c r="AF25" s="280" t="s">
        <v>57</v>
      </c>
      <c r="AG25" s="280" t="s">
        <v>57</v>
      </c>
      <c r="AH25" s="280">
        <f>AVERAGE(AH$5:AH23)</f>
        <v>0</v>
      </c>
      <c r="AI25" s="280">
        <f>AVERAGE(AI$5:AI23)</f>
        <v>0</v>
      </c>
      <c r="AJ25" s="280">
        <f>AVERAGE(AJ$5:AJ23)</f>
        <v>0</v>
      </c>
      <c r="AK25" s="280">
        <f>AVERAGE(AK$5:AK23)</f>
        <v>0</v>
      </c>
      <c r="AL25" s="280">
        <f>AVERAGE(AL$5:AL23)</f>
        <v>0</v>
      </c>
      <c r="AM25" s="280">
        <f>AVERAGE(AM$5:AM23)</f>
        <v>0</v>
      </c>
      <c r="AN25" s="280">
        <f>AVERAGE(AN$5:AN23)</f>
        <v>0</v>
      </c>
      <c r="AO25" s="280">
        <f>AVERAGE(AO$5:AO23)</f>
        <v>0</v>
      </c>
      <c r="AP25" s="280" t="s">
        <v>57</v>
      </c>
      <c r="AQ25" s="280" t="s">
        <v>57</v>
      </c>
      <c r="AR25" s="280">
        <f>AVERAGE(AR$5:AR23)</f>
        <v>0</v>
      </c>
      <c r="AS25" s="281">
        <f>AVERAGE(AS$5:AS23)</f>
        <v>0</v>
      </c>
      <c r="AT25" s="263"/>
      <c r="AU25" s="74"/>
      <c r="AV25" s="74"/>
      <c r="AW25" s="279" t="s">
        <v>60</v>
      </c>
      <c r="AX25" s="280" t="s">
        <v>61</v>
      </c>
      <c r="AY25" s="280" t="s">
        <v>62</v>
      </c>
      <c r="AZ25" s="281" t="s">
        <v>41</v>
      </c>
      <c r="BA25" s="74"/>
      <c r="BB25" s="74"/>
      <c r="BC25" s="74"/>
      <c r="BD25" s="74"/>
      <c r="BE25" s="282">
        <f t="shared" ref="BE25:BP25" si="9">SUM(BE5:BE23)</f>
        <v>66000</v>
      </c>
      <c r="BF25" s="282">
        <f t="shared" si="9"/>
        <v>66</v>
      </c>
      <c r="BG25" s="282">
        <f t="shared" si="9"/>
        <v>0</v>
      </c>
      <c r="BH25" s="282">
        <f t="shared" si="9"/>
        <v>0</v>
      </c>
      <c r="BI25" s="282">
        <f t="shared" si="9"/>
        <v>0</v>
      </c>
      <c r="BJ25" s="282">
        <f t="shared" si="9"/>
        <v>0</v>
      </c>
      <c r="BK25" s="282">
        <f t="shared" si="9"/>
        <v>66000</v>
      </c>
      <c r="BL25" s="282">
        <f t="shared" si="9"/>
        <v>66</v>
      </c>
      <c r="BM25" s="282">
        <f t="shared" si="9"/>
        <v>0</v>
      </c>
      <c r="BN25" s="282">
        <f t="shared" si="9"/>
        <v>4224</v>
      </c>
      <c r="BO25" s="282">
        <f t="shared" si="9"/>
        <v>44</v>
      </c>
      <c r="BP25" s="282">
        <f t="shared" si="9"/>
        <v>0</v>
      </c>
    </row>
    <row r="26" spans="1:68" ht="8.2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429"/>
      <c r="N26" s="332"/>
      <c r="O26" s="332"/>
      <c r="P26" s="74"/>
      <c r="Q26" s="74"/>
      <c r="R26" s="74"/>
      <c r="S26" s="74"/>
      <c r="T26" s="74"/>
      <c r="U26" s="74"/>
      <c r="V26" s="74"/>
      <c r="W26" s="74"/>
      <c r="X26" s="74"/>
      <c r="Y26" s="1" t="s">
        <v>63</v>
      </c>
      <c r="Z26" s="12">
        <f>MIN(Z$5:Z23)</f>
        <v>0</v>
      </c>
      <c r="AA26" s="12">
        <f>MIN(AA$5:AA23)</f>
        <v>0</v>
      </c>
      <c r="AB26" s="12">
        <f>MIN(AB$5:AB23)</f>
        <v>0</v>
      </c>
      <c r="AC26" s="12">
        <f>MIN(AC$5:AC23)</f>
        <v>0</v>
      </c>
      <c r="AD26" s="12">
        <f>MIN(AD$5:AD23)</f>
        <v>0</v>
      </c>
      <c r="AE26" s="12">
        <f>MIN(AE$5:AE23)</f>
        <v>0</v>
      </c>
      <c r="AF26" s="12" t="s">
        <v>57</v>
      </c>
      <c r="AG26" s="12" t="s">
        <v>57</v>
      </c>
      <c r="AH26" s="12">
        <f>MIN(AH$5:AH23)</f>
        <v>0</v>
      </c>
      <c r="AI26" s="12">
        <f>MIN(AI$5:AI23)</f>
        <v>0</v>
      </c>
      <c r="AJ26" s="12">
        <f>MIN(AJ$5:AJ23)</f>
        <v>0</v>
      </c>
      <c r="AK26" s="12">
        <f>MIN(AK$5:AK23)</f>
        <v>0</v>
      </c>
      <c r="AL26" s="12">
        <f>MIN(AL$5:AL23)</f>
        <v>0</v>
      </c>
      <c r="AM26" s="12">
        <f>MIN(AM$5:AM23)</f>
        <v>0</v>
      </c>
      <c r="AN26" s="12">
        <f>MIN(AN$5:AN23)</f>
        <v>0</v>
      </c>
      <c r="AO26" s="12">
        <f>MIN(AO$5:AO23)</f>
        <v>0</v>
      </c>
      <c r="AP26" s="12" t="s">
        <v>57</v>
      </c>
      <c r="AQ26" s="12" t="s">
        <v>57</v>
      </c>
      <c r="AR26" s="12">
        <f>MIN(AR$5:AR23)</f>
        <v>0</v>
      </c>
      <c r="AS26" s="276">
        <f>MIN(AS$5:AS23)</f>
        <v>0</v>
      </c>
      <c r="AT26" s="263"/>
      <c r="AU26" s="74"/>
      <c r="AV26" s="74"/>
      <c r="AW26" s="1" t="s">
        <v>64</v>
      </c>
      <c r="AX26" s="12" t="s">
        <v>65</v>
      </c>
      <c r="AY26" s="12">
        <f>SUM(AU5:AU23)</f>
        <v>198</v>
      </c>
      <c r="AZ26" s="276">
        <f>SUM(AT5:AT23)</f>
        <v>0</v>
      </c>
      <c r="BA26" s="74"/>
      <c r="BB26" s="74"/>
      <c r="BC26" s="74"/>
      <c r="BD26" s="74"/>
      <c r="BE26" s="283" t="s">
        <v>45</v>
      </c>
      <c r="BF26" s="283" t="s">
        <v>46</v>
      </c>
      <c r="BG26" s="283" t="s">
        <v>47</v>
      </c>
      <c r="BH26" s="283" t="s">
        <v>48</v>
      </c>
      <c r="BI26" s="283" t="s">
        <v>49</v>
      </c>
      <c r="BJ26" s="283" t="s">
        <v>50</v>
      </c>
      <c r="BK26" s="283" t="s">
        <v>51</v>
      </c>
      <c r="BL26" s="283" t="s">
        <v>52</v>
      </c>
      <c r="BM26" s="283" t="s">
        <v>53</v>
      </c>
      <c r="BN26" s="283" t="s">
        <v>54</v>
      </c>
      <c r="BO26" s="283" t="s">
        <v>55</v>
      </c>
      <c r="BP26" s="283" t="s">
        <v>56</v>
      </c>
    </row>
    <row r="27" spans="1:68" ht="8.2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429"/>
      <c r="N27" s="332"/>
      <c r="O27" s="332"/>
      <c r="P27" s="74"/>
      <c r="Q27" s="74"/>
      <c r="R27" s="74"/>
      <c r="S27" s="74"/>
      <c r="T27" s="74"/>
      <c r="U27" s="74"/>
      <c r="V27" s="74"/>
      <c r="W27" s="74"/>
      <c r="X27" s="74"/>
      <c r="Y27" s="1" t="s">
        <v>146</v>
      </c>
      <c r="Z27" s="12">
        <f>MAX(Z$5:Z23)</f>
        <v>0</v>
      </c>
      <c r="AA27" s="12">
        <f>MAX(AA$5:AA23)</f>
        <v>0</v>
      </c>
      <c r="AB27" s="12">
        <f>MAX(AB$5:AB23)</f>
        <v>0</v>
      </c>
      <c r="AC27" s="12">
        <f>MAX(AC$5:AC23)</f>
        <v>0</v>
      </c>
      <c r="AD27" s="12">
        <f>MAX(AD$5:AD23)</f>
        <v>0</v>
      </c>
      <c r="AE27" s="12">
        <f>MAX(AE$5:AE23)</f>
        <v>0</v>
      </c>
      <c r="AF27" s="12" t="s">
        <v>57</v>
      </c>
      <c r="AG27" s="12" t="s">
        <v>57</v>
      </c>
      <c r="AH27" s="12">
        <f>MAX(AH$5:AH23)</f>
        <v>0</v>
      </c>
      <c r="AI27" s="12">
        <f>MAX(AI$5:AI23)</f>
        <v>0</v>
      </c>
      <c r="AJ27" s="12">
        <f>MAX(AJ$5:AJ23)</f>
        <v>0</v>
      </c>
      <c r="AK27" s="12">
        <f>MAX(AK$5:AK23)</f>
        <v>0</v>
      </c>
      <c r="AL27" s="12">
        <f>MAX(AL$5:AL23)</f>
        <v>0</v>
      </c>
      <c r="AM27" s="12">
        <f>MAX(AM$5:AM23)</f>
        <v>0</v>
      </c>
      <c r="AN27" s="12">
        <f>MAX(AN$5:AN23)</f>
        <v>0</v>
      </c>
      <c r="AO27" s="12">
        <f>MAX(AO$5:AO23)</f>
        <v>0</v>
      </c>
      <c r="AP27" s="12" t="s">
        <v>57</v>
      </c>
      <c r="AQ27" s="12" t="s">
        <v>57</v>
      </c>
      <c r="AR27" s="12">
        <f>MAX(AR$5:AR23)</f>
        <v>0</v>
      </c>
      <c r="AS27" s="276">
        <f>MAX(AS$5:AS23)</f>
        <v>0</v>
      </c>
      <c r="AT27" s="263"/>
      <c r="AU27" s="74"/>
      <c r="AV27" s="74"/>
      <c r="AW27" s="1" t="s">
        <v>46</v>
      </c>
      <c r="AX27" s="12">
        <f>BE25</f>
        <v>66000</v>
      </c>
      <c r="AY27" s="12">
        <f>BF25</f>
        <v>66</v>
      </c>
      <c r="AZ27" s="276">
        <f>BG25</f>
        <v>0</v>
      </c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</row>
    <row r="28" spans="1:68" ht="8.2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1" t="s">
        <v>66</v>
      </c>
      <c r="Z28" s="12">
        <f>STDEV(Z$5:Z23)</f>
        <v>0</v>
      </c>
      <c r="AA28" s="12">
        <f>STDEV(AA$5:AA23)</f>
        <v>0</v>
      </c>
      <c r="AB28" s="12">
        <f>STDEV(AB$5:AB23)</f>
        <v>0</v>
      </c>
      <c r="AC28" s="12">
        <f>STDEV(AC$5:AC23)</f>
        <v>0</v>
      </c>
      <c r="AD28" s="12">
        <f>STDEV(AD$5:AD23)</f>
        <v>0</v>
      </c>
      <c r="AE28" s="12">
        <f>STDEV(AE$5:AE23)</f>
        <v>0</v>
      </c>
      <c r="AF28" s="12" t="s">
        <v>57</v>
      </c>
      <c r="AG28" s="12" t="s">
        <v>57</v>
      </c>
      <c r="AH28" s="12">
        <f>STDEV(AH$5:AH23)</f>
        <v>0</v>
      </c>
      <c r="AI28" s="12">
        <f>STDEV(AI$5:AI23)</f>
        <v>0</v>
      </c>
      <c r="AJ28" s="12">
        <f>STDEV(AJ$5:AJ23)</f>
        <v>0</v>
      </c>
      <c r="AK28" s="12">
        <f>STDEV(AK$5:AK23)</f>
        <v>0</v>
      </c>
      <c r="AL28" s="12">
        <f>STDEV(AL$5:AL23)</f>
        <v>0</v>
      </c>
      <c r="AM28" s="12">
        <f>STDEV(AM$5:AM23)</f>
        <v>0</v>
      </c>
      <c r="AN28" s="12">
        <f>STDEV(AN$5:AN23)</f>
        <v>0</v>
      </c>
      <c r="AO28" s="12">
        <f>STDEV(AO$5:AO23)</f>
        <v>0</v>
      </c>
      <c r="AP28" s="12" t="s">
        <v>57</v>
      </c>
      <c r="AQ28" s="12" t="s">
        <v>57</v>
      </c>
      <c r="AR28" s="12">
        <f>STDEV(AR$5:AR23)</f>
        <v>0</v>
      </c>
      <c r="AS28" s="276">
        <f>STDEV(AS$5:AS23)</f>
        <v>0</v>
      </c>
      <c r="AT28" s="263"/>
      <c r="AU28" s="74"/>
      <c r="AV28" s="74"/>
      <c r="AW28" s="1" t="s">
        <v>49</v>
      </c>
      <c r="AX28" s="12">
        <f>BH25</f>
        <v>0</v>
      </c>
      <c r="AY28" s="12">
        <f>BI25</f>
        <v>0</v>
      </c>
      <c r="AZ28" s="276">
        <f>BJ25</f>
        <v>0</v>
      </c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</row>
    <row r="29" spans="1:68" ht="9" customHeight="1" thickBo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31" t="s">
        <v>67</v>
      </c>
      <c r="Z29" s="39">
        <f t="shared" ref="Z29:AE29" si="10">IF(Z25+(3*Z28)&gt;100,100,Z25+(3*Z28))</f>
        <v>0</v>
      </c>
      <c r="AA29" s="39">
        <f t="shared" si="10"/>
        <v>0</v>
      </c>
      <c r="AB29" s="39">
        <f t="shared" si="10"/>
        <v>0</v>
      </c>
      <c r="AC29" s="39">
        <f t="shared" si="10"/>
        <v>0</v>
      </c>
      <c r="AD29" s="39">
        <f t="shared" si="10"/>
        <v>0</v>
      </c>
      <c r="AE29" s="39">
        <f t="shared" si="10"/>
        <v>0</v>
      </c>
      <c r="AF29" s="39" t="s">
        <v>57</v>
      </c>
      <c r="AG29" s="39" t="s">
        <v>57</v>
      </c>
      <c r="AH29" s="39">
        <f t="shared" ref="AH29:AO29" si="11">IF(AH25+(3*AH28)&gt;100,100,AH25+(3*AH28))</f>
        <v>0</v>
      </c>
      <c r="AI29" s="39">
        <f t="shared" si="11"/>
        <v>0</v>
      </c>
      <c r="AJ29" s="39">
        <f t="shared" si="11"/>
        <v>0</v>
      </c>
      <c r="AK29" s="39">
        <f t="shared" si="11"/>
        <v>0</v>
      </c>
      <c r="AL29" s="39">
        <f t="shared" si="11"/>
        <v>0</v>
      </c>
      <c r="AM29" s="39">
        <f t="shared" si="11"/>
        <v>0</v>
      </c>
      <c r="AN29" s="39">
        <f t="shared" si="11"/>
        <v>0</v>
      </c>
      <c r="AO29" s="39">
        <f t="shared" si="11"/>
        <v>0</v>
      </c>
      <c r="AP29" s="39" t="s">
        <v>57</v>
      </c>
      <c r="AQ29" s="39" t="s">
        <v>57</v>
      </c>
      <c r="AR29" s="39">
        <f>IF(AR25+(3*AR28)&gt;100,100,AR25+(3*AR28))</f>
        <v>0</v>
      </c>
      <c r="AS29" s="278">
        <f>IF(AS25+(3*AS28)&gt;100,100,AS25+(3*AS28))</f>
        <v>0</v>
      </c>
      <c r="AT29" s="263"/>
      <c r="AU29" s="74"/>
      <c r="AV29" s="74"/>
      <c r="AW29" s="1" t="s">
        <v>52</v>
      </c>
      <c r="AX29" s="12">
        <f>BK25</f>
        <v>66000</v>
      </c>
      <c r="AY29" s="12">
        <f>BL25</f>
        <v>66</v>
      </c>
      <c r="AZ29" s="276">
        <f>BM25</f>
        <v>0</v>
      </c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</row>
    <row r="30" spans="1:68" ht="9" customHeight="1" thickBo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263"/>
      <c r="AP30" s="74"/>
      <c r="AQ30" s="74"/>
      <c r="AR30" s="74"/>
      <c r="AS30" s="74"/>
      <c r="AT30" s="74"/>
      <c r="AU30" s="74"/>
      <c r="AV30" s="74"/>
      <c r="AW30" s="31" t="s">
        <v>58</v>
      </c>
      <c r="AX30" s="39">
        <f>BN25</f>
        <v>4224</v>
      </c>
      <c r="AY30" s="39">
        <f>BO25</f>
        <v>44</v>
      </c>
      <c r="AZ30" s="278">
        <f>BP25</f>
        <v>0</v>
      </c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 t="str">
        <f>IF(AND($AW30="HAST",NOT(ISBLANK($BA30))),$BC30*$AY30,"")</f>
        <v/>
      </c>
      <c r="BO30" s="74" t="str">
        <f>IF(AND($AW30="HAST",NOT(ISBLANK($BA30))),$BC30,"")</f>
        <v/>
      </c>
      <c r="BP30" s="74" t="str">
        <f>IF(AND($AW30="HAST",NOT(ISBLANK($BA30))),$BA30,"")</f>
        <v/>
      </c>
    </row>
    <row r="31" spans="1:68" ht="8.25" customHeight="1">
      <c r="Y31" s="74" t="s">
        <v>69</v>
      </c>
      <c r="Z31" s="74"/>
      <c r="AA31" s="74"/>
    </row>
    <row r="32" spans="1:68" ht="8.25" customHeight="1">
      <c r="Y32" s="74"/>
      <c r="Z32" s="74" t="s">
        <v>70</v>
      </c>
      <c r="AA32" s="74"/>
    </row>
    <row r="33" spans="25:26" ht="8.25" customHeight="1">
      <c r="Y33" s="74"/>
      <c r="Z33" s="74" t="s">
        <v>71</v>
      </c>
    </row>
    <row r="34" spans="25:26" ht="8.25" customHeight="1">
      <c r="Y34" s="74"/>
      <c r="Z34" s="74" t="s">
        <v>72</v>
      </c>
    </row>
    <row r="35" spans="25:26" ht="8.25" customHeight="1">
      <c r="Y35" s="74"/>
      <c r="Z35" s="74" t="s">
        <v>73</v>
      </c>
    </row>
    <row r="36" spans="25:26" ht="8.25" customHeight="1">
      <c r="Y36" s="74"/>
      <c r="Z36" s="74" t="s">
        <v>74</v>
      </c>
    </row>
  </sheetData>
  <mergeCells count="44">
    <mergeCell ref="A1:D2"/>
    <mergeCell ref="D3:D4"/>
    <mergeCell ref="Z1:AI2"/>
    <mergeCell ref="M3:O3"/>
    <mergeCell ref="P3:P4"/>
    <mergeCell ref="Q3:Q4"/>
    <mergeCell ref="S3:S4"/>
    <mergeCell ref="AB3:AC3"/>
    <mergeCell ref="V3:V4"/>
    <mergeCell ref="W3:W4"/>
    <mergeCell ref="Z3:AA3"/>
    <mergeCell ref="M4:O4"/>
    <mergeCell ref="AJ1:AS2"/>
    <mergeCell ref="AT1:AV2"/>
    <mergeCell ref="AW1:BC2"/>
    <mergeCell ref="A3:A4"/>
    <mergeCell ref="B3:B4"/>
    <mergeCell ref="C3:C4"/>
    <mergeCell ref="E3:E4"/>
    <mergeCell ref="F3:F4"/>
    <mergeCell ref="G3:I3"/>
    <mergeCell ref="J3:L3"/>
    <mergeCell ref="E1:F2"/>
    <mergeCell ref="G1:W2"/>
    <mergeCell ref="X1:X4"/>
    <mergeCell ref="Y1:Y4"/>
    <mergeCell ref="T3:T4"/>
    <mergeCell ref="U3:U4"/>
    <mergeCell ref="M24:O24"/>
    <mergeCell ref="M25:O25"/>
    <mergeCell ref="M26:O26"/>
    <mergeCell ref="M27:O27"/>
    <mergeCell ref="BC3:BC4"/>
    <mergeCell ref="AD3:AE3"/>
    <mergeCell ref="AF3:AG3"/>
    <mergeCell ref="AH3:AI3"/>
    <mergeCell ref="AJ3:AK3"/>
    <mergeCell ref="AL3:AM3"/>
    <mergeCell ref="AN3:AO3"/>
    <mergeCell ref="AP3:AQ3"/>
    <mergeCell ref="AR3:AS3"/>
    <mergeCell ref="AU3:AU4"/>
    <mergeCell ref="AV3:AV4"/>
    <mergeCell ref="AW3:AW4"/>
  </mergeCells>
  <conditionalFormatting sqref="BA11 BA12:BB22">
    <cfRule type="cellIs" dxfId="83" priority="1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K45"/>
  <sheetViews>
    <sheetView showGridLines="0" zoomScale="140" zoomScaleNormal="140" workbookViewId="0">
      <pane xSplit="5" ySplit="4" topLeftCell="W5" activePane="bottomRight" state="frozen"/>
      <selection activeCell="L8" sqref="L8:N10"/>
      <selection pane="topRight" activeCell="L8" sqref="L8:N10"/>
      <selection pane="bottomLeft" activeCell="L8" sqref="L8:N10"/>
      <selection pane="bottomRight" activeCell="AS11" sqref="AS11"/>
    </sheetView>
  </sheetViews>
  <sheetFormatPr defaultColWidth="14.453125" defaultRowHeight="15" customHeight="1"/>
  <cols>
    <col min="1" max="1" width="7.7265625" bestFit="1" customWidth="1"/>
    <col min="2" max="2" width="3.26953125" customWidth="1"/>
    <col min="3" max="3" width="6" customWidth="1"/>
    <col min="4" max="5" width="4" customWidth="1"/>
    <col min="6" max="6" width="6.1796875" bestFit="1" customWidth="1"/>
    <col min="7" max="7" width="1.54296875" customWidth="1"/>
    <col min="8" max="8" width="5.81640625" bestFit="1" customWidth="1"/>
    <col min="9" max="9" width="3.26953125" customWidth="1"/>
    <col min="10" max="10" width="1.54296875" customWidth="1"/>
    <col min="11" max="11" width="3.453125" customWidth="1"/>
    <col min="12" max="12" width="5.1796875" customWidth="1"/>
    <col min="13" max="13" width="7.81640625" customWidth="1"/>
    <col min="14" max="14" width="4.453125" customWidth="1"/>
    <col min="15" max="15" width="3.1796875" customWidth="1"/>
    <col min="16" max="16" width="9.26953125" bestFit="1" customWidth="1"/>
    <col min="17" max="17" width="7.81640625" customWidth="1"/>
    <col min="18" max="18" width="2.54296875" customWidth="1"/>
    <col min="19" max="19" width="8.7265625" customWidth="1"/>
    <col min="20" max="20" width="11.7265625" customWidth="1"/>
    <col min="21" max="21" width="9.453125" customWidth="1"/>
    <col min="22" max="43" width="2.7265625" customWidth="1"/>
    <col min="44" max="44" width="5.54296875" customWidth="1"/>
    <col min="45" max="45" width="5" customWidth="1"/>
    <col min="46" max="46" width="7.54296875" customWidth="1"/>
    <col min="47" max="48" width="4.54296875" customWidth="1"/>
    <col min="49" max="49" width="2.7265625" customWidth="1"/>
    <col min="50" max="50" width="3" customWidth="1"/>
    <col min="51" max="51" width="1.26953125" customWidth="1"/>
    <col min="52" max="52" width="6.54296875" customWidth="1"/>
    <col min="53" max="53" width="3.7265625" customWidth="1"/>
    <col min="54" max="54" width="5.54296875" customWidth="1"/>
    <col min="55" max="57" width="2.81640625" hidden="1" customWidth="1"/>
    <col min="58" max="58" width="6.54296875" customWidth="1"/>
    <col min="59" max="59" width="4.26953125" customWidth="1"/>
    <col min="60" max="60" width="5.7265625" customWidth="1"/>
    <col min="61" max="61" width="6.7265625" customWidth="1"/>
    <col min="62" max="62" width="4.26953125" customWidth="1"/>
    <col min="63" max="63" width="6" customWidth="1"/>
    <col min="64" max="73" width="9.1796875" customWidth="1"/>
  </cols>
  <sheetData>
    <row r="1" spans="1:63" ht="10.5" customHeight="1">
      <c r="A1" s="322" t="s">
        <v>0</v>
      </c>
      <c r="B1" s="413"/>
      <c r="C1" s="414"/>
      <c r="D1" s="324" t="s">
        <v>1</v>
      </c>
      <c r="E1" s="417"/>
      <c r="F1" s="396" t="s">
        <v>2</v>
      </c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328" t="s">
        <v>3</v>
      </c>
      <c r="U1" s="331" t="s">
        <v>4</v>
      </c>
      <c r="V1" s="334" t="s">
        <v>5</v>
      </c>
      <c r="W1" s="413"/>
      <c r="X1" s="413"/>
      <c r="Y1" s="413"/>
      <c r="Z1" s="413"/>
      <c r="AA1" s="413"/>
      <c r="AB1" s="413"/>
      <c r="AC1" s="413"/>
      <c r="AD1" s="413"/>
      <c r="AE1" s="417"/>
      <c r="AF1" s="331" t="s">
        <v>6</v>
      </c>
      <c r="AG1" s="413"/>
      <c r="AH1" s="413"/>
      <c r="AI1" s="413"/>
      <c r="AJ1" s="413"/>
      <c r="AK1" s="413"/>
      <c r="AL1" s="413"/>
      <c r="AM1" s="413"/>
      <c r="AN1" s="413"/>
      <c r="AO1" s="414"/>
      <c r="AP1" s="302" t="s">
        <v>7</v>
      </c>
      <c r="AQ1" s="413"/>
      <c r="AR1" s="417"/>
      <c r="AS1" s="306" t="s">
        <v>8</v>
      </c>
      <c r="AT1" s="413"/>
      <c r="AU1" s="413"/>
      <c r="AV1" s="413"/>
      <c r="AW1" s="413"/>
      <c r="AX1" s="420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</row>
    <row r="2" spans="1:63" ht="10.5" customHeight="1">
      <c r="A2" s="425"/>
      <c r="B2" s="415"/>
      <c r="C2" s="416"/>
      <c r="D2" s="418"/>
      <c r="E2" s="419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26"/>
      <c r="U2" s="404"/>
      <c r="V2" s="418"/>
      <c r="W2" s="415"/>
      <c r="X2" s="415"/>
      <c r="Y2" s="415"/>
      <c r="Z2" s="415"/>
      <c r="AA2" s="415"/>
      <c r="AB2" s="415"/>
      <c r="AC2" s="415"/>
      <c r="AD2" s="415"/>
      <c r="AE2" s="419"/>
      <c r="AF2" s="415"/>
      <c r="AG2" s="415"/>
      <c r="AH2" s="415"/>
      <c r="AI2" s="415"/>
      <c r="AJ2" s="415"/>
      <c r="AK2" s="415"/>
      <c r="AL2" s="415"/>
      <c r="AM2" s="415"/>
      <c r="AN2" s="415"/>
      <c r="AO2" s="416"/>
      <c r="AP2" s="418"/>
      <c r="AQ2" s="415"/>
      <c r="AR2" s="419"/>
      <c r="AS2" s="415"/>
      <c r="AT2" s="415"/>
      <c r="AU2" s="415"/>
      <c r="AV2" s="415"/>
      <c r="AW2" s="415"/>
      <c r="AX2" s="421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</row>
    <row r="3" spans="1:63" ht="10.5" customHeight="1">
      <c r="A3" s="309" t="s">
        <v>9</v>
      </c>
      <c r="B3" s="311" t="s">
        <v>10</v>
      </c>
      <c r="C3" s="317" t="s">
        <v>131</v>
      </c>
      <c r="D3" s="315" t="s">
        <v>11</v>
      </c>
      <c r="E3" s="358" t="s">
        <v>12</v>
      </c>
      <c r="F3" s="394" t="s">
        <v>13</v>
      </c>
      <c r="G3" s="424"/>
      <c r="H3" s="408"/>
      <c r="I3" s="321" t="s">
        <v>14</v>
      </c>
      <c r="J3" s="424"/>
      <c r="K3" s="408"/>
      <c r="L3" s="389" t="s">
        <v>16</v>
      </c>
      <c r="M3" s="311" t="s">
        <v>17</v>
      </c>
      <c r="N3" s="107" t="s">
        <v>18</v>
      </c>
      <c r="O3" s="389" t="s">
        <v>19</v>
      </c>
      <c r="P3" s="389" t="s">
        <v>20</v>
      </c>
      <c r="Q3" s="389" t="s">
        <v>21</v>
      </c>
      <c r="R3" s="311" t="s">
        <v>22</v>
      </c>
      <c r="S3" s="317" t="s">
        <v>23</v>
      </c>
      <c r="T3" s="426"/>
      <c r="U3" s="404"/>
      <c r="V3" s="339" t="s">
        <v>24</v>
      </c>
      <c r="W3" s="408"/>
      <c r="X3" s="338" t="s">
        <v>25</v>
      </c>
      <c r="Y3" s="408"/>
      <c r="Z3" s="338" t="s">
        <v>26</v>
      </c>
      <c r="AA3" s="408"/>
      <c r="AB3" s="338" t="s">
        <v>27</v>
      </c>
      <c r="AC3" s="408"/>
      <c r="AD3" s="338" t="s">
        <v>28</v>
      </c>
      <c r="AE3" s="409"/>
      <c r="AF3" s="398" t="s">
        <v>24</v>
      </c>
      <c r="AG3" s="408"/>
      <c r="AH3" s="338" t="s">
        <v>25</v>
      </c>
      <c r="AI3" s="408"/>
      <c r="AJ3" s="338" t="s">
        <v>26</v>
      </c>
      <c r="AK3" s="408"/>
      <c r="AL3" s="338" t="s">
        <v>27</v>
      </c>
      <c r="AM3" s="408"/>
      <c r="AN3" s="338" t="s">
        <v>28</v>
      </c>
      <c r="AO3" s="408"/>
      <c r="AP3" s="19" t="s">
        <v>29</v>
      </c>
      <c r="AQ3" s="349" t="s">
        <v>30</v>
      </c>
      <c r="AR3" s="350" t="s">
        <v>31</v>
      </c>
      <c r="AS3" s="345" t="s">
        <v>32</v>
      </c>
      <c r="AT3" s="20" t="s">
        <v>33</v>
      </c>
      <c r="AU3" s="20" t="s">
        <v>34</v>
      </c>
      <c r="AV3" s="20" t="s">
        <v>35</v>
      </c>
      <c r="AW3" s="20" t="s">
        <v>29</v>
      </c>
      <c r="AX3" s="347" t="s">
        <v>30</v>
      </c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</row>
    <row r="4" spans="1:63" ht="10.5" customHeight="1">
      <c r="A4" s="422"/>
      <c r="B4" s="410"/>
      <c r="C4" s="388"/>
      <c r="D4" s="423"/>
      <c r="E4" s="411"/>
      <c r="F4" s="98" t="s">
        <v>36</v>
      </c>
      <c r="G4" s="21" t="s">
        <v>37</v>
      </c>
      <c r="H4" s="22" t="s">
        <v>36</v>
      </c>
      <c r="I4" s="22" t="s">
        <v>36</v>
      </c>
      <c r="J4" s="21" t="s">
        <v>37</v>
      </c>
      <c r="K4" s="22" t="s">
        <v>36</v>
      </c>
      <c r="L4" s="410"/>
      <c r="M4" s="410"/>
      <c r="N4" s="23" t="s">
        <v>39</v>
      </c>
      <c r="O4" s="410"/>
      <c r="P4" s="410"/>
      <c r="Q4" s="410"/>
      <c r="R4" s="410"/>
      <c r="S4" s="388"/>
      <c r="T4" s="427"/>
      <c r="U4" s="428"/>
      <c r="V4" s="24" t="s">
        <v>29</v>
      </c>
      <c r="W4" s="25" t="s">
        <v>40</v>
      </c>
      <c r="X4" s="21" t="s">
        <v>29</v>
      </c>
      <c r="Y4" s="25" t="s">
        <v>40</v>
      </c>
      <c r="Z4" s="21" t="s">
        <v>29</v>
      </c>
      <c r="AA4" s="25" t="s">
        <v>40</v>
      </c>
      <c r="AB4" s="21" t="s">
        <v>29</v>
      </c>
      <c r="AC4" s="25" t="s">
        <v>40</v>
      </c>
      <c r="AD4" s="21" t="s">
        <v>29</v>
      </c>
      <c r="AE4" s="99" t="s">
        <v>40</v>
      </c>
      <c r="AF4" s="100" t="s">
        <v>29</v>
      </c>
      <c r="AG4" s="25" t="s">
        <v>40</v>
      </c>
      <c r="AH4" s="21" t="s">
        <v>29</v>
      </c>
      <c r="AI4" s="25" t="s">
        <v>40</v>
      </c>
      <c r="AJ4" s="21" t="s">
        <v>29</v>
      </c>
      <c r="AK4" s="25" t="s">
        <v>40</v>
      </c>
      <c r="AL4" s="21" t="s">
        <v>29</v>
      </c>
      <c r="AM4" s="25" t="s">
        <v>40</v>
      </c>
      <c r="AN4" s="21" t="s">
        <v>29</v>
      </c>
      <c r="AO4" s="26" t="s">
        <v>40</v>
      </c>
      <c r="AP4" s="27" t="s">
        <v>41</v>
      </c>
      <c r="AQ4" s="410"/>
      <c r="AR4" s="411"/>
      <c r="AS4" s="412"/>
      <c r="AT4" s="28" t="s">
        <v>42</v>
      </c>
      <c r="AU4" s="28" t="s">
        <v>43</v>
      </c>
      <c r="AV4" s="28" t="s">
        <v>44</v>
      </c>
      <c r="AW4" s="28" t="s">
        <v>41</v>
      </c>
      <c r="AX4" s="407"/>
      <c r="AY4" s="147"/>
      <c r="AZ4" s="148" t="s">
        <v>45</v>
      </c>
      <c r="BA4" s="148" t="s">
        <v>46</v>
      </c>
      <c r="BB4" s="148" t="s">
        <v>47</v>
      </c>
      <c r="BC4" s="148" t="s">
        <v>48</v>
      </c>
      <c r="BD4" s="148" t="s">
        <v>49</v>
      </c>
      <c r="BE4" s="148" t="s">
        <v>50</v>
      </c>
      <c r="BF4" s="148" t="s">
        <v>51</v>
      </c>
      <c r="BG4" s="148" t="s">
        <v>52</v>
      </c>
      <c r="BH4" s="148" t="s">
        <v>53</v>
      </c>
      <c r="BI4" s="148" t="s">
        <v>54</v>
      </c>
      <c r="BJ4" s="148" t="s">
        <v>55</v>
      </c>
      <c r="BK4" s="148" t="s">
        <v>56</v>
      </c>
    </row>
    <row r="5" spans="1:63" s="30" customFormat="1" ht="8.25" customHeight="1">
      <c r="A5" s="1"/>
      <c r="B5" s="2"/>
      <c r="C5" s="3"/>
      <c r="D5" s="11"/>
      <c r="E5" s="4"/>
      <c r="F5" s="102"/>
      <c r="G5" s="2"/>
      <c r="H5" s="12"/>
      <c r="I5" s="12"/>
      <c r="J5" s="2"/>
      <c r="K5" s="12"/>
      <c r="L5" s="8"/>
      <c r="M5" s="95"/>
      <c r="N5" s="94"/>
      <c r="O5" s="2"/>
      <c r="P5" s="2"/>
      <c r="Q5" s="2"/>
      <c r="R5" s="12"/>
      <c r="S5" s="13"/>
      <c r="T5" s="10"/>
      <c r="U5" s="10"/>
      <c r="V5" s="11"/>
      <c r="W5" s="12"/>
      <c r="X5" s="12"/>
      <c r="Y5" s="12"/>
      <c r="Z5" s="12"/>
      <c r="AA5" s="12"/>
      <c r="AB5" s="12"/>
      <c r="AC5" s="12"/>
      <c r="AD5" s="12"/>
      <c r="AE5" s="103"/>
      <c r="AF5" s="102"/>
      <c r="AG5" s="12"/>
      <c r="AH5" s="12"/>
      <c r="AI5" s="2"/>
      <c r="AJ5" s="12"/>
      <c r="AK5" s="12"/>
      <c r="AL5" s="12"/>
      <c r="AM5" s="12"/>
      <c r="AN5" s="12"/>
      <c r="AO5" s="13"/>
      <c r="AP5" s="11"/>
      <c r="AQ5" s="12"/>
      <c r="AR5" s="4"/>
      <c r="AS5" s="102"/>
      <c r="AT5" s="16"/>
      <c r="AU5" s="2"/>
      <c r="AV5" s="2"/>
      <c r="AW5" s="2"/>
      <c r="AX5" s="29"/>
      <c r="AY5" s="18"/>
      <c r="AZ5" s="18" t="str">
        <f t="shared" ref="AZ5:AZ32" si="0">IF(AND($AS5="TC",NOT(ISBLANK($AW5))),$AX5*$AU5,"")</f>
        <v/>
      </c>
      <c r="BA5" s="18" t="str">
        <f t="shared" ref="BA5:BA32" si="1">IF(AND($AS5="TC",NOT(ISBLANK($AW5))),$AX5,"")</f>
        <v/>
      </c>
      <c r="BB5" s="18" t="str">
        <f t="shared" ref="BB5:BB32" si="2">IF(AND($AS5="TC",NOT(ISBLANK($AW5))),$AW5,"")</f>
        <v/>
      </c>
      <c r="BC5" s="18"/>
      <c r="BD5" s="18"/>
      <c r="BE5" s="18"/>
      <c r="BF5" s="18" t="str">
        <f t="shared" ref="BF5:BF32" si="3">IF(AND($AS5="HTS",NOT(ISBLANK($AW5))),$AX5*$AU5,"")</f>
        <v/>
      </c>
      <c r="BG5" s="18" t="str">
        <f t="shared" ref="BG5:BG32" si="4">IF(AND($AS5="HTS",NOT(ISBLANK($AW5))),$AX5,"")</f>
        <v/>
      </c>
      <c r="BH5" s="18" t="str">
        <f t="shared" ref="BH5:BH32" si="5">IF(AND($AS5="HTS",NOT(ISBLANK($AW5))),$AW5,"")</f>
        <v/>
      </c>
      <c r="BI5" s="18" t="str">
        <f t="shared" ref="BI5:BI32" si="6">IF(AND($AS5="HAST",NOT(ISBLANK($AW5))),$AX5*$AU5,"")</f>
        <v/>
      </c>
      <c r="BJ5" s="18" t="str">
        <f t="shared" ref="BJ5:BJ32" si="7">IF(AND($AS5="HAST",NOT(ISBLANK($AW5))),$AX5,"")</f>
        <v/>
      </c>
      <c r="BK5" s="18" t="str">
        <f t="shared" ref="BK5:BK32" si="8">IF(AND($AS5="HAST",NOT(ISBLANK($AW5))),$AW5,"")</f>
        <v/>
      </c>
    </row>
    <row r="6" spans="1:63" s="30" customFormat="1" ht="8.25" customHeight="1">
      <c r="A6" s="1"/>
      <c r="B6" s="2"/>
      <c r="C6" s="3"/>
      <c r="D6" s="11"/>
      <c r="E6" s="4"/>
      <c r="F6" s="102"/>
      <c r="G6" s="2"/>
      <c r="H6" s="12"/>
      <c r="I6" s="12"/>
      <c r="J6" s="2"/>
      <c r="K6" s="12"/>
      <c r="L6" s="8"/>
      <c r="M6" s="95"/>
      <c r="N6" s="94"/>
      <c r="O6" s="2"/>
      <c r="P6" s="2"/>
      <c r="Q6" s="2"/>
      <c r="R6" s="12"/>
      <c r="S6" s="13"/>
      <c r="T6" s="10"/>
      <c r="U6" s="10"/>
      <c r="V6" s="11"/>
      <c r="W6" s="12"/>
      <c r="X6" s="12"/>
      <c r="Y6" s="12"/>
      <c r="Z6" s="12"/>
      <c r="AA6" s="12"/>
      <c r="AB6" s="12"/>
      <c r="AC6" s="12"/>
      <c r="AD6" s="12"/>
      <c r="AE6" s="103"/>
      <c r="AF6" s="102"/>
      <c r="AG6" s="12"/>
      <c r="AH6" s="12"/>
      <c r="AI6" s="2"/>
      <c r="AJ6" s="12"/>
      <c r="AK6" s="12"/>
      <c r="AL6" s="12"/>
      <c r="AM6" s="12"/>
      <c r="AN6" s="12"/>
      <c r="AO6" s="13"/>
      <c r="AP6" s="11"/>
      <c r="AQ6" s="12"/>
      <c r="AR6" s="4"/>
      <c r="AS6" s="102"/>
      <c r="AT6" s="16"/>
      <c r="AU6" s="2"/>
      <c r="AV6" s="2"/>
      <c r="AW6" s="2"/>
      <c r="AX6" s="29"/>
      <c r="AY6" s="18"/>
      <c r="AZ6" s="18" t="str">
        <f t="shared" si="0"/>
        <v/>
      </c>
      <c r="BA6" s="18" t="str">
        <f t="shared" si="1"/>
        <v/>
      </c>
      <c r="BB6" s="18" t="str">
        <f t="shared" si="2"/>
        <v/>
      </c>
      <c r="BC6" s="18"/>
      <c r="BD6" s="18"/>
      <c r="BE6" s="18"/>
      <c r="BF6" s="18" t="str">
        <f t="shared" si="3"/>
        <v/>
      </c>
      <c r="BG6" s="18" t="str">
        <f t="shared" si="4"/>
        <v/>
      </c>
      <c r="BH6" s="18" t="str">
        <f t="shared" si="5"/>
        <v/>
      </c>
      <c r="BI6" s="18" t="str">
        <f t="shared" si="6"/>
        <v/>
      </c>
      <c r="BJ6" s="18" t="str">
        <f t="shared" si="7"/>
        <v/>
      </c>
      <c r="BK6" s="18" t="str">
        <f t="shared" si="8"/>
        <v/>
      </c>
    </row>
    <row r="7" spans="1:63" s="30" customFormat="1" ht="8.25" customHeight="1">
      <c r="A7" s="1"/>
      <c r="B7" s="2"/>
      <c r="C7" s="3"/>
      <c r="D7" s="101"/>
      <c r="E7" s="4"/>
      <c r="F7" s="102"/>
      <c r="G7" s="2"/>
      <c r="H7" s="12"/>
      <c r="I7" s="12"/>
      <c r="J7" s="2"/>
      <c r="K7" s="12"/>
      <c r="L7" s="8"/>
      <c r="M7" s="95"/>
      <c r="N7" s="94"/>
      <c r="O7" s="2"/>
      <c r="P7" s="2"/>
      <c r="Q7" s="2"/>
      <c r="R7" s="12"/>
      <c r="S7" s="13"/>
      <c r="T7" s="9"/>
      <c r="U7" s="10"/>
      <c r="V7" s="11"/>
      <c r="W7" s="12"/>
      <c r="X7" s="12"/>
      <c r="Y7" s="12"/>
      <c r="Z7" s="12"/>
      <c r="AA7" s="12"/>
      <c r="AB7" s="12"/>
      <c r="AC7" s="12"/>
      <c r="AD7" s="12"/>
      <c r="AE7" s="103"/>
      <c r="AF7" s="102"/>
      <c r="AG7" s="12"/>
      <c r="AH7" s="12"/>
      <c r="AI7" s="2"/>
      <c r="AJ7" s="12"/>
      <c r="AK7" s="12"/>
      <c r="AL7" s="12"/>
      <c r="AM7" s="12"/>
      <c r="AN7" s="12"/>
      <c r="AO7" s="13"/>
      <c r="AP7" s="11"/>
      <c r="AQ7" s="12"/>
      <c r="AR7" s="4"/>
      <c r="AS7" s="14"/>
      <c r="AT7" s="2"/>
      <c r="AU7" s="95"/>
      <c r="AV7" s="2"/>
      <c r="AW7" s="95"/>
      <c r="AX7" s="104"/>
      <c r="AY7" s="18"/>
      <c r="AZ7" s="18" t="str">
        <f t="shared" si="0"/>
        <v/>
      </c>
      <c r="BA7" s="18" t="str">
        <f t="shared" si="1"/>
        <v/>
      </c>
      <c r="BB7" s="18" t="str">
        <f t="shared" si="2"/>
        <v/>
      </c>
      <c r="BC7" s="18"/>
      <c r="BD7" s="18"/>
      <c r="BE7" s="18"/>
      <c r="BF7" s="18" t="str">
        <f t="shared" si="3"/>
        <v/>
      </c>
      <c r="BG7" s="18" t="str">
        <f t="shared" si="4"/>
        <v/>
      </c>
      <c r="BH7" s="18" t="str">
        <f t="shared" si="5"/>
        <v/>
      </c>
      <c r="BI7" s="18" t="str">
        <f t="shared" si="6"/>
        <v/>
      </c>
      <c r="BJ7" s="18" t="str">
        <f t="shared" si="7"/>
        <v/>
      </c>
      <c r="BK7" s="18" t="str">
        <f t="shared" si="8"/>
        <v/>
      </c>
    </row>
    <row r="8" spans="1:63" s="30" customFormat="1" ht="8.25" customHeight="1">
      <c r="A8" s="1"/>
      <c r="B8" s="2"/>
      <c r="C8" s="3"/>
      <c r="D8" s="11"/>
      <c r="E8" s="4"/>
      <c r="F8" s="161"/>
      <c r="G8" s="2"/>
      <c r="H8" s="162"/>
      <c r="I8" s="12"/>
      <c r="J8" s="2"/>
      <c r="K8" s="12"/>
      <c r="L8" s="8"/>
      <c r="M8" s="95"/>
      <c r="N8" s="94"/>
      <c r="O8" s="2"/>
      <c r="P8" s="2"/>
      <c r="Q8" s="2"/>
      <c r="R8" s="12"/>
      <c r="S8" s="13"/>
      <c r="T8" s="10"/>
      <c r="U8" s="10"/>
      <c r="V8" s="102"/>
      <c r="W8" s="12"/>
      <c r="X8" s="12"/>
      <c r="Y8" s="12"/>
      <c r="Z8" s="12"/>
      <c r="AA8" s="12"/>
      <c r="AB8" s="12"/>
      <c r="AC8" s="12"/>
      <c r="AD8" s="12"/>
      <c r="AE8" s="103"/>
      <c r="AF8" s="102"/>
      <c r="AG8" s="12"/>
      <c r="AH8" s="12"/>
      <c r="AI8" s="2"/>
      <c r="AJ8" s="12"/>
      <c r="AK8" s="12"/>
      <c r="AL8" s="12"/>
      <c r="AM8" s="12"/>
      <c r="AN8" s="12"/>
      <c r="AO8" s="13"/>
      <c r="AP8" s="11"/>
      <c r="AQ8" s="12"/>
      <c r="AR8" s="4"/>
      <c r="AS8" s="14"/>
      <c r="AT8" s="2"/>
      <c r="AU8" s="95"/>
      <c r="AV8" s="2"/>
      <c r="AW8" s="95"/>
      <c r="AX8" s="104"/>
      <c r="AY8" s="18"/>
      <c r="AZ8" s="18" t="str">
        <f t="shared" si="0"/>
        <v/>
      </c>
      <c r="BA8" s="18" t="str">
        <f t="shared" si="1"/>
        <v/>
      </c>
      <c r="BB8" s="18" t="str">
        <f t="shared" si="2"/>
        <v/>
      </c>
      <c r="BC8" s="18"/>
      <c r="BD8" s="18"/>
      <c r="BE8" s="18"/>
      <c r="BF8" s="18" t="str">
        <f t="shared" si="3"/>
        <v/>
      </c>
      <c r="BG8" s="18" t="str">
        <f t="shared" si="4"/>
        <v/>
      </c>
      <c r="BH8" s="18" t="str">
        <f t="shared" si="5"/>
        <v/>
      </c>
      <c r="BI8" s="18" t="str">
        <f t="shared" si="6"/>
        <v/>
      </c>
      <c r="BJ8" s="18" t="str">
        <f t="shared" si="7"/>
        <v/>
      </c>
      <c r="BK8" s="18" t="str">
        <f t="shared" si="8"/>
        <v/>
      </c>
    </row>
    <row r="9" spans="1:63" s="30" customFormat="1" ht="8.25" customHeight="1">
      <c r="A9" s="1"/>
      <c r="B9" s="2"/>
      <c r="C9" s="3"/>
      <c r="D9" s="101"/>
      <c r="E9" s="4"/>
      <c r="F9" s="102"/>
      <c r="G9" s="2"/>
      <c r="H9" s="12"/>
      <c r="I9" s="12"/>
      <c r="J9" s="2"/>
      <c r="K9" s="12"/>
      <c r="L9" s="8"/>
      <c r="M9" s="95"/>
      <c r="N9" s="94"/>
      <c r="O9" s="2"/>
      <c r="P9" s="2"/>
      <c r="Q9" s="2"/>
      <c r="R9" s="12"/>
      <c r="S9" s="13"/>
      <c r="T9" s="9"/>
      <c r="U9" s="10"/>
      <c r="V9" s="11"/>
      <c r="W9" s="12"/>
      <c r="X9" s="12"/>
      <c r="Y9" s="12"/>
      <c r="Z9" s="12"/>
      <c r="AA9" s="12"/>
      <c r="AB9" s="12"/>
      <c r="AC9" s="12"/>
      <c r="AD9" s="12"/>
      <c r="AE9" s="103"/>
      <c r="AF9" s="102"/>
      <c r="AG9" s="12"/>
      <c r="AH9" s="12"/>
      <c r="AI9" s="2"/>
      <c r="AJ9" s="12"/>
      <c r="AK9" s="12"/>
      <c r="AL9" s="12"/>
      <c r="AM9" s="12"/>
      <c r="AN9" s="12"/>
      <c r="AO9" s="13"/>
      <c r="AP9" s="11"/>
      <c r="AQ9" s="12"/>
      <c r="AR9" s="4"/>
      <c r="AS9" s="14"/>
      <c r="AT9" s="2"/>
      <c r="AU9" s="95"/>
      <c r="AV9" s="2"/>
      <c r="AW9" s="95"/>
      <c r="AX9" s="104"/>
      <c r="AY9" s="18"/>
      <c r="AZ9" s="18" t="str">
        <f t="shared" si="0"/>
        <v/>
      </c>
      <c r="BA9" s="18" t="str">
        <f t="shared" si="1"/>
        <v/>
      </c>
      <c r="BB9" s="18" t="str">
        <f t="shared" si="2"/>
        <v/>
      </c>
      <c r="BC9" s="18"/>
      <c r="BD9" s="18"/>
      <c r="BE9" s="18"/>
      <c r="BF9" s="18" t="str">
        <f t="shared" si="3"/>
        <v/>
      </c>
      <c r="BG9" s="18" t="str">
        <f t="shared" si="4"/>
        <v/>
      </c>
      <c r="BH9" s="18" t="str">
        <f t="shared" si="5"/>
        <v/>
      </c>
      <c r="BI9" s="18" t="str">
        <f t="shared" si="6"/>
        <v/>
      </c>
      <c r="BJ9" s="18" t="str">
        <f t="shared" si="7"/>
        <v/>
      </c>
      <c r="BK9" s="18" t="str">
        <f t="shared" si="8"/>
        <v/>
      </c>
    </row>
    <row r="10" spans="1:63" ht="8.25" customHeight="1">
      <c r="A10" s="1"/>
      <c r="B10" s="2"/>
      <c r="C10" s="3"/>
      <c r="D10" s="101"/>
      <c r="E10" s="4"/>
      <c r="F10" s="161"/>
      <c r="G10" s="2"/>
      <c r="H10" s="162"/>
      <c r="I10" s="12"/>
      <c r="J10" s="2"/>
      <c r="K10" s="12"/>
      <c r="L10" s="8"/>
      <c r="M10" s="95"/>
      <c r="N10" s="94"/>
      <c r="O10" s="2"/>
      <c r="P10" s="2"/>
      <c r="Q10" s="2"/>
      <c r="R10" s="12"/>
      <c r="S10" s="13"/>
      <c r="T10" s="9"/>
      <c r="U10" s="10"/>
      <c r="V10" s="102"/>
      <c r="W10" s="12"/>
      <c r="X10" s="12"/>
      <c r="Y10" s="12"/>
      <c r="Z10" s="12"/>
      <c r="AA10" s="12"/>
      <c r="AB10" s="12"/>
      <c r="AC10" s="12"/>
      <c r="AD10" s="12"/>
      <c r="AE10" s="103"/>
      <c r="AF10" s="102"/>
      <c r="AG10" s="12"/>
      <c r="AH10" s="12"/>
      <c r="AI10" s="2"/>
      <c r="AJ10" s="12"/>
      <c r="AK10" s="12"/>
      <c r="AL10" s="12"/>
      <c r="AM10" s="12"/>
      <c r="AN10" s="12"/>
      <c r="AO10" s="13"/>
      <c r="AP10" s="11"/>
      <c r="AQ10" s="12"/>
      <c r="AR10" s="4"/>
      <c r="AS10" s="14"/>
      <c r="AT10" s="2"/>
      <c r="AU10" s="95"/>
      <c r="AV10" s="2"/>
      <c r="AW10" s="95"/>
      <c r="AX10" s="104"/>
      <c r="AY10" s="18"/>
      <c r="AZ10" s="18" t="str">
        <f t="shared" si="0"/>
        <v/>
      </c>
      <c r="BA10" s="18" t="str">
        <f t="shared" si="1"/>
        <v/>
      </c>
      <c r="BB10" s="18" t="str">
        <f t="shared" si="2"/>
        <v/>
      </c>
      <c r="BC10" s="18"/>
      <c r="BD10" s="18"/>
      <c r="BE10" s="18"/>
      <c r="BF10" s="18" t="str">
        <f t="shared" si="3"/>
        <v/>
      </c>
      <c r="BG10" s="18" t="str">
        <f t="shared" si="4"/>
        <v/>
      </c>
      <c r="BH10" s="18" t="str">
        <f t="shared" si="5"/>
        <v/>
      </c>
      <c r="BI10" s="18" t="str">
        <f t="shared" si="6"/>
        <v/>
      </c>
      <c r="BJ10" s="18" t="str">
        <f t="shared" si="7"/>
        <v/>
      </c>
      <c r="BK10" s="18" t="str">
        <f t="shared" si="8"/>
        <v/>
      </c>
    </row>
    <row r="11" spans="1:63" ht="8.25" customHeight="1">
      <c r="A11" s="1"/>
      <c r="B11" s="2"/>
      <c r="C11" s="3"/>
      <c r="D11" s="101"/>
      <c r="E11" s="4"/>
      <c r="F11" s="102"/>
      <c r="G11" s="2"/>
      <c r="H11" s="12"/>
      <c r="I11" s="12"/>
      <c r="J11" s="2"/>
      <c r="K11" s="12"/>
      <c r="L11" s="8"/>
      <c r="M11" s="95"/>
      <c r="N11" s="94"/>
      <c r="O11" s="2"/>
      <c r="P11" s="2"/>
      <c r="Q11" s="2"/>
      <c r="R11" s="12"/>
      <c r="S11" s="13"/>
      <c r="T11" s="9"/>
      <c r="U11" s="10"/>
      <c r="V11" s="11"/>
      <c r="W11" s="12"/>
      <c r="X11" s="12"/>
      <c r="Y11" s="12"/>
      <c r="Z11" s="12"/>
      <c r="AA11" s="12"/>
      <c r="AB11" s="12"/>
      <c r="AC11" s="12"/>
      <c r="AD11" s="12"/>
      <c r="AE11" s="103"/>
      <c r="AF11" s="102"/>
      <c r="AG11" s="12"/>
      <c r="AH11" s="12"/>
      <c r="AI11" s="2"/>
      <c r="AJ11" s="12"/>
      <c r="AK11" s="12"/>
      <c r="AL11" s="12"/>
      <c r="AM11" s="12"/>
      <c r="AN11" s="12"/>
      <c r="AO11" s="13"/>
      <c r="AP11" s="11"/>
      <c r="AQ11" s="12"/>
      <c r="AR11" s="4"/>
      <c r="AS11" s="14"/>
      <c r="AT11" s="2"/>
      <c r="AU11" s="95"/>
      <c r="AV11" s="2"/>
      <c r="AW11" s="95"/>
      <c r="AX11" s="104"/>
      <c r="AY11" s="18"/>
      <c r="AZ11" s="18" t="str">
        <f t="shared" si="0"/>
        <v/>
      </c>
      <c r="BA11" s="18" t="str">
        <f t="shared" si="1"/>
        <v/>
      </c>
      <c r="BB11" s="18" t="str">
        <f t="shared" si="2"/>
        <v/>
      </c>
      <c r="BC11" s="18"/>
      <c r="BD11" s="18"/>
      <c r="BE11" s="18"/>
      <c r="BF11" s="18" t="str">
        <f t="shared" si="3"/>
        <v/>
      </c>
      <c r="BG11" s="18" t="str">
        <f t="shared" si="4"/>
        <v/>
      </c>
      <c r="BH11" s="18" t="str">
        <f t="shared" si="5"/>
        <v/>
      </c>
      <c r="BI11" s="18" t="str">
        <f t="shared" si="6"/>
        <v/>
      </c>
      <c r="BJ11" s="18" t="str">
        <f t="shared" si="7"/>
        <v/>
      </c>
      <c r="BK11" s="18" t="str">
        <f t="shared" si="8"/>
        <v/>
      </c>
    </row>
    <row r="12" spans="1:63" ht="8.25" customHeight="1">
      <c r="A12" s="1"/>
      <c r="B12" s="2"/>
      <c r="C12" s="3"/>
      <c r="D12" s="101"/>
      <c r="E12" s="4"/>
      <c r="F12" s="102"/>
      <c r="G12" s="2"/>
      <c r="H12" s="12"/>
      <c r="I12" s="12"/>
      <c r="J12" s="2"/>
      <c r="K12" s="12"/>
      <c r="L12" s="8"/>
      <c r="M12" s="95"/>
      <c r="N12" s="94"/>
      <c r="O12" s="2"/>
      <c r="P12" s="2"/>
      <c r="Q12" s="2"/>
      <c r="R12" s="12"/>
      <c r="S12" s="13"/>
      <c r="T12" s="9"/>
      <c r="U12" s="10"/>
      <c r="V12" s="11"/>
      <c r="W12" s="12"/>
      <c r="X12" s="12"/>
      <c r="Y12" s="12"/>
      <c r="Z12" s="12"/>
      <c r="AA12" s="12"/>
      <c r="AB12" s="12"/>
      <c r="AC12" s="12"/>
      <c r="AD12" s="12"/>
      <c r="AE12" s="103"/>
      <c r="AF12" s="102"/>
      <c r="AG12" s="12"/>
      <c r="AH12" s="12"/>
      <c r="AI12" s="2"/>
      <c r="AJ12" s="12"/>
      <c r="AK12" s="12"/>
      <c r="AL12" s="12"/>
      <c r="AM12" s="12"/>
      <c r="AN12" s="12"/>
      <c r="AO12" s="13"/>
      <c r="AP12" s="11"/>
      <c r="AQ12" s="12"/>
      <c r="AR12" s="4"/>
      <c r="AS12" s="14"/>
      <c r="AT12" s="2"/>
      <c r="AU12" s="95"/>
      <c r="AV12" s="2"/>
      <c r="AW12" s="95"/>
      <c r="AX12" s="104"/>
      <c r="AY12" s="18"/>
      <c r="AZ12" s="18" t="str">
        <f t="shared" si="0"/>
        <v/>
      </c>
      <c r="BA12" s="18" t="str">
        <f t="shared" si="1"/>
        <v/>
      </c>
      <c r="BB12" s="18" t="str">
        <f t="shared" si="2"/>
        <v/>
      </c>
      <c r="BC12" s="18"/>
      <c r="BD12" s="18"/>
      <c r="BE12" s="18"/>
      <c r="BF12" s="18" t="str">
        <f t="shared" si="3"/>
        <v/>
      </c>
      <c r="BG12" s="18" t="str">
        <f t="shared" si="4"/>
        <v/>
      </c>
      <c r="BH12" s="18" t="str">
        <f t="shared" si="5"/>
        <v/>
      </c>
      <c r="BI12" s="18" t="str">
        <f t="shared" si="6"/>
        <v/>
      </c>
      <c r="BJ12" s="18" t="str">
        <f t="shared" si="7"/>
        <v/>
      </c>
      <c r="BK12" s="18" t="str">
        <f t="shared" si="8"/>
        <v/>
      </c>
    </row>
    <row r="13" spans="1:63" ht="8.25" customHeight="1">
      <c r="A13" s="1"/>
      <c r="B13" s="2"/>
      <c r="C13" s="3"/>
      <c r="D13" s="101"/>
      <c r="E13" s="4"/>
      <c r="F13" s="102"/>
      <c r="G13" s="2"/>
      <c r="H13" s="12"/>
      <c r="I13" s="12"/>
      <c r="J13" s="2"/>
      <c r="K13" s="12"/>
      <c r="L13" s="8"/>
      <c r="M13" s="95"/>
      <c r="N13" s="94"/>
      <c r="O13" s="2"/>
      <c r="P13" s="2"/>
      <c r="Q13" s="2"/>
      <c r="R13" s="12"/>
      <c r="S13" s="13"/>
      <c r="T13" s="9"/>
      <c r="U13" s="10"/>
      <c r="V13" s="11"/>
      <c r="W13" s="12"/>
      <c r="X13" s="12"/>
      <c r="Y13" s="12"/>
      <c r="Z13" s="12"/>
      <c r="AA13" s="12"/>
      <c r="AB13" s="12"/>
      <c r="AC13" s="12"/>
      <c r="AD13" s="12"/>
      <c r="AE13" s="103"/>
      <c r="AF13" s="102"/>
      <c r="AG13" s="12"/>
      <c r="AH13" s="12"/>
      <c r="AI13" s="2"/>
      <c r="AJ13" s="12"/>
      <c r="AK13" s="12"/>
      <c r="AL13" s="12"/>
      <c r="AM13" s="12"/>
      <c r="AN13" s="12"/>
      <c r="AO13" s="13"/>
      <c r="AP13" s="11"/>
      <c r="AQ13" s="12"/>
      <c r="AR13" s="4"/>
      <c r="AS13" s="14"/>
      <c r="AT13" s="2"/>
      <c r="AU13" s="95"/>
      <c r="AV13" s="2"/>
      <c r="AW13" s="95"/>
      <c r="AX13" s="104"/>
      <c r="AY13" s="18"/>
      <c r="AZ13" s="18" t="str">
        <f t="shared" si="0"/>
        <v/>
      </c>
      <c r="BA13" s="18" t="str">
        <f t="shared" si="1"/>
        <v/>
      </c>
      <c r="BB13" s="18" t="str">
        <f t="shared" si="2"/>
        <v/>
      </c>
      <c r="BC13" s="18"/>
      <c r="BD13" s="18"/>
      <c r="BE13" s="18"/>
      <c r="BF13" s="18" t="str">
        <f t="shared" si="3"/>
        <v/>
      </c>
      <c r="BG13" s="18" t="str">
        <f t="shared" si="4"/>
        <v/>
      </c>
      <c r="BH13" s="18" t="str">
        <f t="shared" si="5"/>
        <v/>
      </c>
      <c r="BI13" s="18" t="str">
        <f t="shared" si="6"/>
        <v/>
      </c>
      <c r="BJ13" s="18" t="str">
        <f t="shared" si="7"/>
        <v/>
      </c>
      <c r="BK13" s="18" t="str">
        <f t="shared" si="8"/>
        <v/>
      </c>
    </row>
    <row r="14" spans="1:63" ht="8.25" customHeight="1">
      <c r="A14" s="1"/>
      <c r="B14" s="2"/>
      <c r="C14" s="3"/>
      <c r="D14" s="101"/>
      <c r="E14" s="4"/>
      <c r="F14" s="102"/>
      <c r="G14" s="2"/>
      <c r="H14" s="12"/>
      <c r="I14" s="12"/>
      <c r="J14" s="2"/>
      <c r="K14" s="12"/>
      <c r="L14" s="8"/>
      <c r="M14" s="95"/>
      <c r="N14" s="94"/>
      <c r="O14" s="2"/>
      <c r="P14" s="2"/>
      <c r="Q14" s="2"/>
      <c r="R14" s="12"/>
      <c r="S14" s="13"/>
      <c r="T14" s="9"/>
      <c r="U14" s="10"/>
      <c r="V14" s="11"/>
      <c r="W14" s="12"/>
      <c r="X14" s="12"/>
      <c r="Y14" s="12"/>
      <c r="Z14" s="12"/>
      <c r="AA14" s="12"/>
      <c r="AB14" s="12"/>
      <c r="AC14" s="12"/>
      <c r="AD14" s="12"/>
      <c r="AE14" s="103"/>
      <c r="AF14" s="102"/>
      <c r="AG14" s="12"/>
      <c r="AH14" s="12"/>
      <c r="AI14" s="2"/>
      <c r="AJ14" s="12"/>
      <c r="AK14" s="12"/>
      <c r="AL14" s="12"/>
      <c r="AM14" s="12"/>
      <c r="AN14" s="12"/>
      <c r="AO14" s="13"/>
      <c r="AP14" s="11"/>
      <c r="AQ14" s="12"/>
      <c r="AR14" s="4"/>
      <c r="AS14" s="14"/>
      <c r="AT14" s="2"/>
      <c r="AU14" s="95"/>
      <c r="AV14" s="2"/>
      <c r="AW14" s="95"/>
      <c r="AX14" s="104"/>
      <c r="AY14" s="18"/>
      <c r="AZ14" s="18" t="str">
        <f t="shared" si="0"/>
        <v/>
      </c>
      <c r="BA14" s="18" t="str">
        <f t="shared" si="1"/>
        <v/>
      </c>
      <c r="BB14" s="18" t="str">
        <f t="shared" si="2"/>
        <v/>
      </c>
      <c r="BC14" s="18"/>
      <c r="BD14" s="18"/>
      <c r="BE14" s="18"/>
      <c r="BF14" s="18" t="str">
        <f t="shared" si="3"/>
        <v/>
      </c>
      <c r="BG14" s="18" t="str">
        <f t="shared" si="4"/>
        <v/>
      </c>
      <c r="BH14" s="18" t="str">
        <f t="shared" si="5"/>
        <v/>
      </c>
      <c r="BI14" s="18" t="str">
        <f t="shared" si="6"/>
        <v/>
      </c>
      <c r="BJ14" s="18" t="str">
        <f t="shared" si="7"/>
        <v/>
      </c>
      <c r="BK14" s="18" t="str">
        <f t="shared" si="8"/>
        <v/>
      </c>
    </row>
    <row r="15" spans="1:63" ht="8.25" customHeight="1">
      <c r="A15" s="1"/>
      <c r="B15" s="2"/>
      <c r="C15" s="3"/>
      <c r="D15" s="101"/>
      <c r="E15" s="4"/>
      <c r="F15" s="102"/>
      <c r="G15" s="2"/>
      <c r="H15" s="12"/>
      <c r="I15" s="12"/>
      <c r="J15" s="2"/>
      <c r="K15" s="12"/>
      <c r="L15" s="8"/>
      <c r="M15" s="95"/>
      <c r="N15" s="94"/>
      <c r="O15" s="2"/>
      <c r="P15" s="2"/>
      <c r="Q15" s="2"/>
      <c r="R15" s="12"/>
      <c r="S15" s="13"/>
      <c r="T15" s="9"/>
      <c r="U15" s="10"/>
      <c r="V15" s="11"/>
      <c r="W15" s="12"/>
      <c r="X15" s="12"/>
      <c r="Y15" s="12"/>
      <c r="Z15" s="12"/>
      <c r="AA15" s="12"/>
      <c r="AB15" s="12"/>
      <c r="AC15" s="12"/>
      <c r="AD15" s="12"/>
      <c r="AE15" s="103"/>
      <c r="AF15" s="102"/>
      <c r="AG15" s="12"/>
      <c r="AH15" s="12"/>
      <c r="AI15" s="2"/>
      <c r="AJ15" s="12"/>
      <c r="AK15" s="12"/>
      <c r="AL15" s="12"/>
      <c r="AM15" s="12"/>
      <c r="AN15" s="12"/>
      <c r="AO15" s="13"/>
      <c r="AP15" s="11"/>
      <c r="AQ15" s="12"/>
      <c r="AR15" s="4"/>
      <c r="AS15" s="14"/>
      <c r="AT15" s="2"/>
      <c r="AU15" s="95"/>
      <c r="AV15" s="2"/>
      <c r="AW15" s="95"/>
      <c r="AX15" s="104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</row>
    <row r="16" spans="1:63" ht="8.25" customHeight="1">
      <c r="A16" s="1"/>
      <c r="B16" s="2"/>
      <c r="C16" s="3"/>
      <c r="D16" s="101"/>
      <c r="E16" s="4"/>
      <c r="F16" s="102"/>
      <c r="G16" s="2"/>
      <c r="H16" s="12"/>
      <c r="I16" s="12"/>
      <c r="J16" s="2"/>
      <c r="K16" s="12"/>
      <c r="L16" s="8"/>
      <c r="M16" s="95"/>
      <c r="N16" s="94"/>
      <c r="O16" s="2"/>
      <c r="P16" s="2"/>
      <c r="Q16" s="2"/>
      <c r="R16" s="12"/>
      <c r="S16" s="13"/>
      <c r="T16" s="9"/>
      <c r="U16" s="10"/>
      <c r="V16" s="11"/>
      <c r="W16" s="12"/>
      <c r="X16" s="12"/>
      <c r="Y16" s="12"/>
      <c r="Z16" s="12"/>
      <c r="AA16" s="12"/>
      <c r="AB16" s="12"/>
      <c r="AC16" s="12"/>
      <c r="AD16" s="12"/>
      <c r="AE16" s="103"/>
      <c r="AF16" s="102"/>
      <c r="AG16" s="12"/>
      <c r="AH16" s="12"/>
      <c r="AI16" s="2"/>
      <c r="AJ16" s="12"/>
      <c r="AK16" s="12"/>
      <c r="AL16" s="12"/>
      <c r="AM16" s="12"/>
      <c r="AN16" s="12"/>
      <c r="AO16" s="13"/>
      <c r="AP16" s="11"/>
      <c r="AQ16" s="12"/>
      <c r="AR16" s="4"/>
      <c r="AS16" s="14"/>
      <c r="AT16" s="2"/>
      <c r="AU16" s="95"/>
      <c r="AV16" s="2"/>
      <c r="AW16" s="95"/>
      <c r="AX16" s="104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</row>
    <row r="17" spans="1:63" ht="8.25" customHeight="1">
      <c r="A17" s="1"/>
      <c r="B17" s="2"/>
      <c r="C17" s="3"/>
      <c r="D17" s="101"/>
      <c r="E17" s="4"/>
      <c r="F17" s="102"/>
      <c r="G17" s="2"/>
      <c r="H17" s="12"/>
      <c r="I17" s="12"/>
      <c r="J17" s="2"/>
      <c r="K17" s="12"/>
      <c r="L17" s="8"/>
      <c r="M17" s="95"/>
      <c r="N17" s="94"/>
      <c r="O17" s="2"/>
      <c r="P17" s="2"/>
      <c r="Q17" s="2"/>
      <c r="R17" s="12"/>
      <c r="S17" s="13"/>
      <c r="T17" s="9"/>
      <c r="U17" s="10"/>
      <c r="V17" s="11"/>
      <c r="W17" s="12"/>
      <c r="X17" s="12"/>
      <c r="Y17" s="12"/>
      <c r="Z17" s="12"/>
      <c r="AA17" s="12"/>
      <c r="AB17" s="12"/>
      <c r="AC17" s="12"/>
      <c r="AD17" s="12"/>
      <c r="AE17" s="103"/>
      <c r="AF17" s="102"/>
      <c r="AG17" s="12"/>
      <c r="AH17" s="12"/>
      <c r="AI17" s="2"/>
      <c r="AJ17" s="12"/>
      <c r="AK17" s="12"/>
      <c r="AL17" s="12"/>
      <c r="AM17" s="12"/>
      <c r="AN17" s="12"/>
      <c r="AO17" s="13"/>
      <c r="AP17" s="11"/>
      <c r="AQ17" s="12"/>
      <c r="AR17" s="4"/>
      <c r="AS17" s="14"/>
      <c r="AT17" s="2"/>
      <c r="AU17" s="95"/>
      <c r="AV17" s="2"/>
      <c r="AW17" s="95"/>
      <c r="AX17" s="104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</row>
    <row r="18" spans="1:63" ht="8.25" customHeight="1">
      <c r="A18" s="1"/>
      <c r="B18" s="2"/>
      <c r="C18" s="3"/>
      <c r="D18" s="101"/>
      <c r="E18" s="4"/>
      <c r="F18" s="102"/>
      <c r="G18" s="2"/>
      <c r="H18" s="12"/>
      <c r="I18" s="12"/>
      <c r="J18" s="2"/>
      <c r="K18" s="12"/>
      <c r="L18" s="8"/>
      <c r="M18" s="95"/>
      <c r="N18" s="94"/>
      <c r="O18" s="2"/>
      <c r="P18" s="2"/>
      <c r="Q18" s="2"/>
      <c r="R18" s="12"/>
      <c r="S18" s="13"/>
      <c r="T18" s="9"/>
      <c r="U18" s="10"/>
      <c r="V18" s="11"/>
      <c r="W18" s="12"/>
      <c r="X18" s="12"/>
      <c r="Y18" s="12"/>
      <c r="Z18" s="12"/>
      <c r="AA18" s="12"/>
      <c r="AB18" s="12"/>
      <c r="AC18" s="12"/>
      <c r="AD18" s="12"/>
      <c r="AE18" s="103"/>
      <c r="AF18" s="102"/>
      <c r="AG18" s="12"/>
      <c r="AH18" s="12"/>
      <c r="AI18" s="2"/>
      <c r="AJ18" s="12"/>
      <c r="AK18" s="12"/>
      <c r="AL18" s="12"/>
      <c r="AM18" s="12"/>
      <c r="AN18" s="12"/>
      <c r="AO18" s="13"/>
      <c r="AP18" s="11"/>
      <c r="AQ18" s="12"/>
      <c r="AR18" s="4"/>
      <c r="AS18" s="14"/>
      <c r="AT18" s="2"/>
      <c r="AU18" s="95"/>
      <c r="AV18" s="2"/>
      <c r="AW18" s="95"/>
      <c r="AX18" s="104"/>
      <c r="AY18" s="18"/>
      <c r="AZ18" s="18" t="str">
        <f t="shared" si="0"/>
        <v/>
      </c>
      <c r="BA18" s="18" t="str">
        <f t="shared" si="1"/>
        <v/>
      </c>
      <c r="BB18" s="18" t="str">
        <f t="shared" si="2"/>
        <v/>
      </c>
      <c r="BC18" s="18"/>
      <c r="BD18" s="18"/>
      <c r="BE18" s="18"/>
      <c r="BF18" s="18" t="str">
        <f t="shared" si="3"/>
        <v/>
      </c>
      <c r="BG18" s="18" t="str">
        <f t="shared" si="4"/>
        <v/>
      </c>
      <c r="BH18" s="18" t="str">
        <f t="shared" si="5"/>
        <v/>
      </c>
      <c r="BI18" s="18" t="str">
        <f t="shared" si="6"/>
        <v/>
      </c>
      <c r="BJ18" s="18" t="str">
        <f t="shared" si="7"/>
        <v/>
      </c>
      <c r="BK18" s="18" t="str">
        <f t="shared" si="8"/>
        <v/>
      </c>
    </row>
    <row r="19" spans="1:63" ht="8.25" customHeight="1">
      <c r="A19" s="1"/>
      <c r="B19" s="2"/>
      <c r="C19" s="3"/>
      <c r="D19" s="101"/>
      <c r="E19" s="4"/>
      <c r="F19" s="102"/>
      <c r="G19" s="2"/>
      <c r="H19" s="12"/>
      <c r="I19" s="12"/>
      <c r="J19" s="2"/>
      <c r="K19" s="12"/>
      <c r="L19" s="8"/>
      <c r="M19" s="95"/>
      <c r="N19" s="94"/>
      <c r="O19" s="2"/>
      <c r="P19" s="2"/>
      <c r="Q19" s="2"/>
      <c r="R19" s="12"/>
      <c r="S19" s="13"/>
      <c r="T19" s="9"/>
      <c r="U19" s="10"/>
      <c r="V19" s="11"/>
      <c r="W19" s="12"/>
      <c r="X19" s="12"/>
      <c r="Y19" s="12"/>
      <c r="Z19" s="12"/>
      <c r="AA19" s="12"/>
      <c r="AB19" s="12"/>
      <c r="AC19" s="12"/>
      <c r="AD19" s="12"/>
      <c r="AE19" s="103"/>
      <c r="AF19" s="102"/>
      <c r="AG19" s="12"/>
      <c r="AH19" s="12"/>
      <c r="AI19" s="2"/>
      <c r="AJ19" s="12"/>
      <c r="AK19" s="12"/>
      <c r="AL19" s="12"/>
      <c r="AM19" s="12"/>
      <c r="AN19" s="12"/>
      <c r="AO19" s="13"/>
      <c r="AP19" s="11"/>
      <c r="AQ19" s="12"/>
      <c r="AR19" s="4"/>
      <c r="AS19" s="14"/>
      <c r="AT19" s="2"/>
      <c r="AU19" s="95"/>
      <c r="AV19" s="2"/>
      <c r="AW19" s="95"/>
      <c r="AX19" s="104"/>
      <c r="AY19" s="18"/>
      <c r="AZ19" s="18" t="str">
        <f t="shared" si="0"/>
        <v/>
      </c>
      <c r="BA19" s="18" t="str">
        <f t="shared" si="1"/>
        <v/>
      </c>
      <c r="BB19" s="18" t="str">
        <f t="shared" si="2"/>
        <v/>
      </c>
      <c r="BC19" s="18"/>
      <c r="BD19" s="18"/>
      <c r="BE19" s="18"/>
      <c r="BF19" s="18" t="str">
        <f t="shared" si="3"/>
        <v/>
      </c>
      <c r="BG19" s="18" t="str">
        <f t="shared" si="4"/>
        <v/>
      </c>
      <c r="BH19" s="18" t="str">
        <f t="shared" si="5"/>
        <v/>
      </c>
      <c r="BI19" s="18" t="str">
        <f t="shared" si="6"/>
        <v/>
      </c>
      <c r="BJ19" s="18" t="str">
        <f t="shared" si="7"/>
        <v/>
      </c>
      <c r="BK19" s="18" t="str">
        <f t="shared" si="8"/>
        <v/>
      </c>
    </row>
    <row r="20" spans="1:63" ht="8.25" customHeight="1">
      <c r="A20" s="1"/>
      <c r="B20" s="2"/>
      <c r="C20" s="3"/>
      <c r="D20" s="101"/>
      <c r="E20" s="4"/>
      <c r="F20" s="102"/>
      <c r="G20" s="2"/>
      <c r="H20" s="12"/>
      <c r="I20" s="12"/>
      <c r="J20" s="2"/>
      <c r="K20" s="12"/>
      <c r="L20" s="8"/>
      <c r="M20" s="95"/>
      <c r="N20" s="94"/>
      <c r="O20" s="2"/>
      <c r="P20" s="2"/>
      <c r="Q20" s="2"/>
      <c r="R20" s="12"/>
      <c r="S20" s="13"/>
      <c r="T20" s="9"/>
      <c r="U20" s="10"/>
      <c r="V20" s="11"/>
      <c r="W20" s="12"/>
      <c r="X20" s="12"/>
      <c r="Y20" s="12"/>
      <c r="Z20" s="12"/>
      <c r="AA20" s="12"/>
      <c r="AB20" s="12"/>
      <c r="AC20" s="12"/>
      <c r="AD20" s="12"/>
      <c r="AE20" s="103"/>
      <c r="AF20" s="102"/>
      <c r="AG20" s="12"/>
      <c r="AH20" s="12"/>
      <c r="AI20" s="2"/>
      <c r="AJ20" s="12"/>
      <c r="AK20" s="12"/>
      <c r="AL20" s="12"/>
      <c r="AM20" s="12"/>
      <c r="AN20" s="12"/>
      <c r="AO20" s="13"/>
      <c r="AP20" s="11"/>
      <c r="AQ20" s="12"/>
      <c r="AR20" s="4"/>
      <c r="AS20" s="14"/>
      <c r="AT20" s="2"/>
      <c r="AU20" s="95"/>
      <c r="AV20" s="2"/>
      <c r="AW20" s="95"/>
      <c r="AX20" s="104"/>
      <c r="AY20" s="18"/>
      <c r="AZ20" s="18" t="str">
        <f t="shared" si="0"/>
        <v/>
      </c>
      <c r="BA20" s="18" t="str">
        <f t="shared" si="1"/>
        <v/>
      </c>
      <c r="BB20" s="18" t="str">
        <f t="shared" si="2"/>
        <v/>
      </c>
      <c r="BC20" s="18"/>
      <c r="BD20" s="18"/>
      <c r="BE20" s="18"/>
      <c r="BF20" s="18" t="str">
        <f t="shared" si="3"/>
        <v/>
      </c>
      <c r="BG20" s="18" t="str">
        <f t="shared" si="4"/>
        <v/>
      </c>
      <c r="BH20" s="18" t="str">
        <f t="shared" si="5"/>
        <v/>
      </c>
      <c r="BI20" s="18" t="str">
        <f t="shared" si="6"/>
        <v/>
      </c>
      <c r="BJ20" s="18" t="str">
        <f t="shared" si="7"/>
        <v/>
      </c>
      <c r="BK20" s="18" t="str">
        <f t="shared" si="8"/>
        <v/>
      </c>
    </row>
    <row r="21" spans="1:63" ht="8.25" customHeight="1">
      <c r="A21" s="1"/>
      <c r="B21" s="2"/>
      <c r="C21" s="3"/>
      <c r="D21" s="101"/>
      <c r="E21" s="4"/>
      <c r="F21" s="102"/>
      <c r="G21" s="2"/>
      <c r="H21" s="12"/>
      <c r="I21" s="12"/>
      <c r="J21" s="2"/>
      <c r="K21" s="12"/>
      <c r="L21" s="8"/>
      <c r="M21" s="95"/>
      <c r="N21" s="94"/>
      <c r="O21" s="2"/>
      <c r="P21" s="2"/>
      <c r="Q21" s="2"/>
      <c r="R21" s="12"/>
      <c r="S21" s="13"/>
      <c r="T21" s="9"/>
      <c r="U21" s="10"/>
      <c r="V21" s="11"/>
      <c r="W21" s="12"/>
      <c r="X21" s="12"/>
      <c r="Y21" s="12"/>
      <c r="Z21" s="12"/>
      <c r="AA21" s="12"/>
      <c r="AB21" s="12"/>
      <c r="AC21" s="12"/>
      <c r="AD21" s="12"/>
      <c r="AE21" s="103"/>
      <c r="AF21" s="102"/>
      <c r="AG21" s="12"/>
      <c r="AH21" s="12"/>
      <c r="AI21" s="2"/>
      <c r="AJ21" s="12"/>
      <c r="AK21" s="12"/>
      <c r="AL21" s="12"/>
      <c r="AM21" s="12"/>
      <c r="AN21" s="12"/>
      <c r="AO21" s="13"/>
      <c r="AP21" s="11"/>
      <c r="AQ21" s="12"/>
      <c r="AR21" s="4"/>
      <c r="AS21" s="14"/>
      <c r="AT21" s="2"/>
      <c r="AU21" s="95"/>
      <c r="AV21" s="2"/>
      <c r="AW21" s="95"/>
      <c r="AX21" s="104"/>
      <c r="AY21" s="18"/>
      <c r="AZ21" s="18" t="str">
        <f t="shared" si="0"/>
        <v/>
      </c>
      <c r="BA21" s="18" t="str">
        <f t="shared" si="1"/>
        <v/>
      </c>
      <c r="BB21" s="18" t="str">
        <f t="shared" si="2"/>
        <v/>
      </c>
      <c r="BC21" s="18"/>
      <c r="BD21" s="18"/>
      <c r="BE21" s="18"/>
      <c r="BF21" s="18" t="str">
        <f t="shared" si="3"/>
        <v/>
      </c>
      <c r="BG21" s="18" t="str">
        <f t="shared" si="4"/>
        <v/>
      </c>
      <c r="BH21" s="18" t="str">
        <f t="shared" si="5"/>
        <v/>
      </c>
      <c r="BI21" s="18" t="str">
        <f t="shared" si="6"/>
        <v/>
      </c>
      <c r="BJ21" s="18" t="str">
        <f t="shared" si="7"/>
        <v/>
      </c>
      <c r="BK21" s="18" t="str">
        <f t="shared" si="8"/>
        <v/>
      </c>
    </row>
    <row r="22" spans="1:63" s="30" customFormat="1" ht="8.25" customHeight="1">
      <c r="A22" s="1"/>
      <c r="B22" s="2"/>
      <c r="C22" s="3"/>
      <c r="D22" s="101"/>
      <c r="E22" s="4"/>
      <c r="F22" s="102"/>
      <c r="G22" s="2"/>
      <c r="H22" s="12"/>
      <c r="I22" s="12"/>
      <c r="J22" s="2"/>
      <c r="K22" s="12"/>
      <c r="L22" s="8"/>
      <c r="M22" s="95"/>
      <c r="N22" s="94"/>
      <c r="O22" s="2"/>
      <c r="P22" s="2"/>
      <c r="Q22" s="2"/>
      <c r="R22" s="12"/>
      <c r="S22" s="13"/>
      <c r="T22" s="9"/>
      <c r="U22" s="10"/>
      <c r="V22" s="11"/>
      <c r="W22" s="12"/>
      <c r="X22" s="12"/>
      <c r="Y22" s="12"/>
      <c r="Z22" s="12"/>
      <c r="AA22" s="12"/>
      <c r="AB22" s="12"/>
      <c r="AC22" s="12"/>
      <c r="AD22" s="12"/>
      <c r="AE22" s="103"/>
      <c r="AF22" s="102"/>
      <c r="AG22" s="12"/>
      <c r="AH22" s="12"/>
      <c r="AI22" s="2"/>
      <c r="AJ22" s="12"/>
      <c r="AK22" s="12"/>
      <c r="AL22" s="12"/>
      <c r="AM22" s="12"/>
      <c r="AN22" s="12"/>
      <c r="AO22" s="13"/>
      <c r="AP22" s="11"/>
      <c r="AQ22" s="12"/>
      <c r="AR22" s="4"/>
      <c r="AS22" s="14"/>
      <c r="AT22" s="2"/>
      <c r="AU22" s="95"/>
      <c r="AV22" s="2"/>
      <c r="AW22" s="95"/>
      <c r="AX22" s="104"/>
      <c r="AY22" s="18"/>
      <c r="AZ22" s="18" t="str">
        <f t="shared" si="0"/>
        <v/>
      </c>
      <c r="BA22" s="18" t="str">
        <f t="shared" si="1"/>
        <v/>
      </c>
      <c r="BB22" s="18" t="str">
        <f t="shared" si="2"/>
        <v/>
      </c>
      <c r="BC22" s="18"/>
      <c r="BD22" s="18"/>
      <c r="BE22" s="18"/>
      <c r="BF22" s="18" t="str">
        <f t="shared" si="3"/>
        <v/>
      </c>
      <c r="BG22" s="18" t="str">
        <f t="shared" si="4"/>
        <v/>
      </c>
      <c r="BH22" s="18" t="str">
        <f t="shared" si="5"/>
        <v/>
      </c>
      <c r="BI22" s="18" t="str">
        <f t="shared" si="6"/>
        <v/>
      </c>
      <c r="BJ22" s="18" t="str">
        <f t="shared" si="7"/>
        <v/>
      </c>
      <c r="BK22" s="18" t="str">
        <f t="shared" si="8"/>
        <v/>
      </c>
    </row>
    <row r="23" spans="1:63" ht="8.25" customHeight="1">
      <c r="A23" s="1"/>
      <c r="B23" s="2"/>
      <c r="C23" s="3"/>
      <c r="D23" s="101"/>
      <c r="E23" s="4"/>
      <c r="F23" s="102"/>
      <c r="G23" s="2"/>
      <c r="H23" s="12"/>
      <c r="I23" s="12"/>
      <c r="J23" s="2"/>
      <c r="K23" s="12"/>
      <c r="L23" s="8"/>
      <c r="M23" s="95"/>
      <c r="N23" s="94"/>
      <c r="O23" s="2"/>
      <c r="P23" s="2"/>
      <c r="Q23" s="2"/>
      <c r="R23" s="12"/>
      <c r="S23" s="13"/>
      <c r="T23" s="9"/>
      <c r="U23" s="10"/>
      <c r="V23" s="11"/>
      <c r="W23" s="12"/>
      <c r="X23" s="12"/>
      <c r="Y23" s="12"/>
      <c r="Z23" s="12"/>
      <c r="AA23" s="12"/>
      <c r="AB23" s="12"/>
      <c r="AC23" s="12"/>
      <c r="AD23" s="12"/>
      <c r="AE23" s="103"/>
      <c r="AF23" s="102"/>
      <c r="AG23" s="12"/>
      <c r="AH23" s="12"/>
      <c r="AI23" s="2"/>
      <c r="AJ23" s="12"/>
      <c r="AK23" s="12"/>
      <c r="AL23" s="12"/>
      <c r="AM23" s="12"/>
      <c r="AN23" s="12"/>
      <c r="AO23" s="13"/>
      <c r="AP23" s="11"/>
      <c r="AQ23" s="12"/>
      <c r="AR23" s="4"/>
      <c r="AS23" s="14"/>
      <c r="AT23" s="2"/>
      <c r="AU23" s="95"/>
      <c r="AV23" s="2"/>
      <c r="AW23" s="95"/>
      <c r="AX23" s="104"/>
      <c r="AY23" s="18"/>
      <c r="AZ23" s="18" t="str">
        <f t="shared" si="0"/>
        <v/>
      </c>
      <c r="BA23" s="18" t="str">
        <f t="shared" si="1"/>
        <v/>
      </c>
      <c r="BB23" s="18" t="str">
        <f t="shared" si="2"/>
        <v/>
      </c>
      <c r="BC23" s="18"/>
      <c r="BD23" s="18"/>
      <c r="BE23" s="18"/>
      <c r="BF23" s="18" t="str">
        <f t="shared" si="3"/>
        <v/>
      </c>
      <c r="BG23" s="18" t="str">
        <f t="shared" si="4"/>
        <v/>
      </c>
      <c r="BH23" s="18" t="str">
        <f t="shared" si="5"/>
        <v/>
      </c>
      <c r="BI23" s="18" t="str">
        <f t="shared" si="6"/>
        <v/>
      </c>
      <c r="BJ23" s="18" t="str">
        <f t="shared" si="7"/>
        <v/>
      </c>
      <c r="BK23" s="18" t="str">
        <f t="shared" si="8"/>
        <v/>
      </c>
    </row>
    <row r="24" spans="1:63" ht="8.25" customHeight="1">
      <c r="A24" s="1"/>
      <c r="B24" s="2"/>
      <c r="C24" s="3"/>
      <c r="D24" s="101"/>
      <c r="E24" s="4"/>
      <c r="F24" s="102"/>
      <c r="G24" s="2"/>
      <c r="H24" s="12"/>
      <c r="I24" s="12"/>
      <c r="J24" s="2"/>
      <c r="K24" s="12"/>
      <c r="L24" s="8"/>
      <c r="M24" s="95"/>
      <c r="N24" s="94"/>
      <c r="O24" s="2"/>
      <c r="P24" s="2"/>
      <c r="Q24" s="2"/>
      <c r="R24" s="12"/>
      <c r="S24" s="13"/>
      <c r="T24" s="9"/>
      <c r="U24" s="10"/>
      <c r="V24" s="11"/>
      <c r="W24" s="12"/>
      <c r="X24" s="12"/>
      <c r="Y24" s="12"/>
      <c r="Z24" s="12"/>
      <c r="AA24" s="12"/>
      <c r="AB24" s="12"/>
      <c r="AC24" s="12"/>
      <c r="AD24" s="12"/>
      <c r="AE24" s="103"/>
      <c r="AF24" s="102"/>
      <c r="AG24" s="12"/>
      <c r="AH24" s="12"/>
      <c r="AI24" s="2"/>
      <c r="AJ24" s="12"/>
      <c r="AK24" s="12"/>
      <c r="AL24" s="12"/>
      <c r="AM24" s="12"/>
      <c r="AN24" s="12"/>
      <c r="AO24" s="13"/>
      <c r="AP24" s="11"/>
      <c r="AQ24" s="12"/>
      <c r="AR24" s="4"/>
      <c r="AS24" s="14"/>
      <c r="AT24" s="2"/>
      <c r="AU24" s="95"/>
      <c r="AV24" s="2"/>
      <c r="AW24" s="95"/>
      <c r="AX24" s="104"/>
      <c r="AY24" s="18"/>
      <c r="AZ24" s="18" t="str">
        <f t="shared" si="0"/>
        <v/>
      </c>
      <c r="BA24" s="18" t="str">
        <f t="shared" si="1"/>
        <v/>
      </c>
      <c r="BB24" s="18" t="str">
        <f t="shared" si="2"/>
        <v/>
      </c>
      <c r="BC24" s="18"/>
      <c r="BD24" s="18"/>
      <c r="BE24" s="18"/>
      <c r="BF24" s="18" t="str">
        <f t="shared" si="3"/>
        <v/>
      </c>
      <c r="BG24" s="18" t="str">
        <f t="shared" si="4"/>
        <v/>
      </c>
      <c r="BH24" s="18" t="str">
        <f t="shared" si="5"/>
        <v/>
      </c>
      <c r="BI24" s="18" t="str">
        <f t="shared" si="6"/>
        <v/>
      </c>
      <c r="BJ24" s="18" t="str">
        <f t="shared" si="7"/>
        <v/>
      </c>
      <c r="BK24" s="18" t="str">
        <f t="shared" si="8"/>
        <v/>
      </c>
    </row>
    <row r="25" spans="1:63" ht="8.25" customHeight="1">
      <c r="A25" s="1"/>
      <c r="B25" s="2"/>
      <c r="C25" s="3"/>
      <c r="D25" s="101"/>
      <c r="E25" s="4"/>
      <c r="F25" s="102"/>
      <c r="G25" s="2"/>
      <c r="H25" s="12"/>
      <c r="I25" s="12"/>
      <c r="J25" s="2"/>
      <c r="K25" s="12"/>
      <c r="L25" s="8"/>
      <c r="M25" s="95"/>
      <c r="N25" s="94"/>
      <c r="O25" s="2"/>
      <c r="P25" s="2"/>
      <c r="Q25" s="2"/>
      <c r="R25" s="12"/>
      <c r="S25" s="13"/>
      <c r="T25" s="9"/>
      <c r="U25" s="10"/>
      <c r="V25" s="11"/>
      <c r="W25" s="12"/>
      <c r="X25" s="12"/>
      <c r="Y25" s="12"/>
      <c r="Z25" s="12"/>
      <c r="AA25" s="12"/>
      <c r="AB25" s="12"/>
      <c r="AC25" s="12"/>
      <c r="AD25" s="12"/>
      <c r="AE25" s="103"/>
      <c r="AF25" s="102"/>
      <c r="AG25" s="12"/>
      <c r="AH25" s="12"/>
      <c r="AI25" s="2"/>
      <c r="AJ25" s="12"/>
      <c r="AK25" s="12"/>
      <c r="AL25" s="12"/>
      <c r="AM25" s="12"/>
      <c r="AN25" s="12"/>
      <c r="AO25" s="13"/>
      <c r="AP25" s="11"/>
      <c r="AQ25" s="12"/>
      <c r="AR25" s="4"/>
      <c r="AS25" s="14"/>
      <c r="AT25" s="2"/>
      <c r="AU25" s="95"/>
      <c r="AV25" s="2"/>
      <c r="AW25" s="95"/>
      <c r="AX25" s="104"/>
      <c r="AY25" s="18"/>
      <c r="AZ25" s="18" t="str">
        <f t="shared" si="0"/>
        <v/>
      </c>
      <c r="BA25" s="18" t="str">
        <f t="shared" si="1"/>
        <v/>
      </c>
      <c r="BB25" s="18" t="str">
        <f t="shared" si="2"/>
        <v/>
      </c>
      <c r="BC25" s="18"/>
      <c r="BD25" s="18"/>
      <c r="BE25" s="18"/>
      <c r="BF25" s="18" t="str">
        <f t="shared" si="3"/>
        <v/>
      </c>
      <c r="BG25" s="18" t="str">
        <f t="shared" si="4"/>
        <v/>
      </c>
      <c r="BH25" s="18" t="str">
        <f t="shared" si="5"/>
        <v/>
      </c>
      <c r="BI25" s="18" t="str">
        <f t="shared" si="6"/>
        <v/>
      </c>
      <c r="BJ25" s="18" t="str">
        <f t="shared" si="7"/>
        <v/>
      </c>
      <c r="BK25" s="18" t="str">
        <f t="shared" si="8"/>
        <v/>
      </c>
    </row>
    <row r="26" spans="1:63" ht="8.25" customHeight="1">
      <c r="A26" s="1"/>
      <c r="B26" s="2"/>
      <c r="C26" s="3"/>
      <c r="D26" s="101"/>
      <c r="E26" s="4"/>
      <c r="F26" s="102"/>
      <c r="G26" s="2"/>
      <c r="H26" s="12"/>
      <c r="I26" s="12"/>
      <c r="J26" s="2"/>
      <c r="K26" s="12"/>
      <c r="L26" s="8"/>
      <c r="M26" s="95"/>
      <c r="N26" s="94"/>
      <c r="O26" s="2"/>
      <c r="P26" s="2"/>
      <c r="Q26" s="2"/>
      <c r="R26" s="12"/>
      <c r="S26" s="13"/>
      <c r="T26" s="9"/>
      <c r="U26" s="10"/>
      <c r="V26" s="11"/>
      <c r="W26" s="12"/>
      <c r="X26" s="12"/>
      <c r="Y26" s="12"/>
      <c r="Z26" s="12"/>
      <c r="AA26" s="12"/>
      <c r="AB26" s="12"/>
      <c r="AC26" s="12"/>
      <c r="AD26" s="12"/>
      <c r="AE26" s="103"/>
      <c r="AF26" s="102"/>
      <c r="AG26" s="12"/>
      <c r="AH26" s="12"/>
      <c r="AI26" s="2"/>
      <c r="AJ26" s="12"/>
      <c r="AK26" s="12"/>
      <c r="AL26" s="12"/>
      <c r="AM26" s="12"/>
      <c r="AN26" s="12"/>
      <c r="AO26" s="13"/>
      <c r="AP26" s="11"/>
      <c r="AQ26" s="12"/>
      <c r="AR26" s="4"/>
      <c r="AS26" s="14"/>
      <c r="AT26" s="2"/>
      <c r="AU26" s="95"/>
      <c r="AV26" s="2"/>
      <c r="AW26" s="95"/>
      <c r="AX26" s="104"/>
      <c r="AY26" s="18"/>
      <c r="AZ26" s="18" t="str">
        <f t="shared" si="0"/>
        <v/>
      </c>
      <c r="BA26" s="18" t="str">
        <f t="shared" si="1"/>
        <v/>
      </c>
      <c r="BB26" s="18" t="str">
        <f t="shared" si="2"/>
        <v/>
      </c>
      <c r="BC26" s="18"/>
      <c r="BD26" s="18"/>
      <c r="BE26" s="18"/>
      <c r="BF26" s="18" t="str">
        <f t="shared" si="3"/>
        <v/>
      </c>
      <c r="BG26" s="18" t="str">
        <f t="shared" si="4"/>
        <v/>
      </c>
      <c r="BH26" s="18" t="str">
        <f t="shared" si="5"/>
        <v/>
      </c>
      <c r="BI26" s="18" t="str">
        <f t="shared" si="6"/>
        <v/>
      </c>
      <c r="BJ26" s="18" t="str">
        <f t="shared" si="7"/>
        <v/>
      </c>
      <c r="BK26" s="18" t="str">
        <f t="shared" si="8"/>
        <v/>
      </c>
    </row>
    <row r="27" spans="1:63" s="30" customFormat="1" ht="8.25" customHeight="1">
      <c r="A27" s="1"/>
      <c r="B27" s="2"/>
      <c r="C27" s="3"/>
      <c r="D27" s="101"/>
      <c r="E27" s="4"/>
      <c r="F27" s="102"/>
      <c r="G27" s="2"/>
      <c r="H27" s="12"/>
      <c r="I27" s="12"/>
      <c r="J27" s="2"/>
      <c r="K27" s="12"/>
      <c r="L27" s="8"/>
      <c r="M27" s="95"/>
      <c r="N27" s="94"/>
      <c r="O27" s="2"/>
      <c r="P27" s="2"/>
      <c r="Q27" s="2"/>
      <c r="R27" s="12"/>
      <c r="S27" s="13"/>
      <c r="T27" s="9"/>
      <c r="U27" s="10"/>
      <c r="V27" s="11"/>
      <c r="W27" s="12"/>
      <c r="X27" s="12"/>
      <c r="Y27" s="12"/>
      <c r="Z27" s="12"/>
      <c r="AA27" s="12"/>
      <c r="AB27" s="12"/>
      <c r="AC27" s="12"/>
      <c r="AD27" s="12"/>
      <c r="AE27" s="103"/>
      <c r="AF27" s="102"/>
      <c r="AG27" s="12"/>
      <c r="AH27" s="12"/>
      <c r="AI27" s="2"/>
      <c r="AJ27" s="12"/>
      <c r="AK27" s="12"/>
      <c r="AL27" s="12"/>
      <c r="AM27" s="12"/>
      <c r="AN27" s="12"/>
      <c r="AO27" s="13"/>
      <c r="AP27" s="11"/>
      <c r="AQ27" s="12"/>
      <c r="AR27" s="4"/>
      <c r="AS27" s="14"/>
      <c r="AT27" s="2"/>
      <c r="AU27" s="95"/>
      <c r="AV27" s="2"/>
      <c r="AW27" s="95"/>
      <c r="AX27" s="104"/>
      <c r="AY27" s="18"/>
      <c r="AZ27" s="18" t="str">
        <f t="shared" si="0"/>
        <v/>
      </c>
      <c r="BA27" s="18" t="str">
        <f t="shared" si="1"/>
        <v/>
      </c>
      <c r="BB27" s="18" t="str">
        <f t="shared" si="2"/>
        <v/>
      </c>
      <c r="BC27" s="18"/>
      <c r="BD27" s="18"/>
      <c r="BE27" s="18"/>
      <c r="BF27" s="18" t="str">
        <f t="shared" si="3"/>
        <v/>
      </c>
      <c r="BG27" s="18" t="str">
        <f t="shared" si="4"/>
        <v/>
      </c>
      <c r="BH27" s="18" t="str">
        <f t="shared" si="5"/>
        <v/>
      </c>
      <c r="BI27" s="18" t="str">
        <f t="shared" si="6"/>
        <v/>
      </c>
      <c r="BJ27" s="18" t="str">
        <f t="shared" si="7"/>
        <v/>
      </c>
      <c r="BK27" s="18" t="str">
        <f t="shared" si="8"/>
        <v/>
      </c>
    </row>
    <row r="28" spans="1:63" ht="8.25" customHeight="1">
      <c r="A28" s="1"/>
      <c r="B28" s="2"/>
      <c r="C28" s="3"/>
      <c r="D28" s="101"/>
      <c r="E28" s="4"/>
      <c r="F28" s="102"/>
      <c r="G28" s="2"/>
      <c r="H28" s="12"/>
      <c r="I28" s="12"/>
      <c r="J28" s="2"/>
      <c r="K28" s="12"/>
      <c r="L28" s="8"/>
      <c r="M28" s="95"/>
      <c r="N28" s="94"/>
      <c r="O28" s="2"/>
      <c r="P28" s="2"/>
      <c r="Q28" s="2"/>
      <c r="R28" s="12"/>
      <c r="S28" s="13"/>
      <c r="T28" s="9"/>
      <c r="U28" s="10"/>
      <c r="V28" s="11"/>
      <c r="W28" s="12"/>
      <c r="X28" s="12"/>
      <c r="Y28" s="12"/>
      <c r="Z28" s="12"/>
      <c r="AA28" s="12"/>
      <c r="AB28" s="12"/>
      <c r="AC28" s="12"/>
      <c r="AD28" s="12"/>
      <c r="AE28" s="103"/>
      <c r="AF28" s="102"/>
      <c r="AG28" s="12"/>
      <c r="AH28" s="12"/>
      <c r="AI28" s="2"/>
      <c r="AJ28" s="12"/>
      <c r="AK28" s="12"/>
      <c r="AL28" s="12"/>
      <c r="AM28" s="12"/>
      <c r="AN28" s="12"/>
      <c r="AO28" s="13"/>
      <c r="AP28" s="11"/>
      <c r="AQ28" s="12"/>
      <c r="AR28" s="4"/>
      <c r="AS28" s="14"/>
      <c r="AT28" s="2"/>
      <c r="AU28" s="95"/>
      <c r="AV28" s="2"/>
      <c r="AW28" s="95"/>
      <c r="AX28" s="104"/>
      <c r="AY28" s="18"/>
      <c r="AZ28" s="18" t="str">
        <f t="shared" si="0"/>
        <v/>
      </c>
      <c r="BA28" s="18" t="str">
        <f t="shared" si="1"/>
        <v/>
      </c>
      <c r="BB28" s="18" t="str">
        <f t="shared" si="2"/>
        <v/>
      </c>
      <c r="BC28" s="18"/>
      <c r="BD28" s="18"/>
      <c r="BE28" s="18"/>
      <c r="BF28" s="18" t="str">
        <f t="shared" si="3"/>
        <v/>
      </c>
      <c r="BG28" s="18" t="str">
        <f t="shared" si="4"/>
        <v/>
      </c>
      <c r="BH28" s="18" t="str">
        <f t="shared" si="5"/>
        <v/>
      </c>
      <c r="BI28" s="18" t="str">
        <f t="shared" si="6"/>
        <v/>
      </c>
      <c r="BJ28" s="18" t="str">
        <f t="shared" si="7"/>
        <v/>
      </c>
      <c r="BK28" s="18" t="str">
        <f t="shared" si="8"/>
        <v/>
      </c>
    </row>
    <row r="29" spans="1:63" s="30" customFormat="1" ht="8.25" customHeight="1">
      <c r="A29" s="1"/>
      <c r="B29" s="2"/>
      <c r="C29" s="3"/>
      <c r="D29" s="101"/>
      <c r="E29" s="4"/>
      <c r="F29" s="102"/>
      <c r="G29" s="2"/>
      <c r="H29" s="12"/>
      <c r="I29" s="12"/>
      <c r="J29" s="2"/>
      <c r="K29" s="12"/>
      <c r="L29" s="8"/>
      <c r="M29" s="95"/>
      <c r="N29" s="94"/>
      <c r="O29" s="2"/>
      <c r="P29" s="2"/>
      <c r="Q29" s="2"/>
      <c r="R29" s="12"/>
      <c r="S29" s="13"/>
      <c r="T29" s="9"/>
      <c r="U29" s="10"/>
      <c r="V29" s="11"/>
      <c r="W29" s="12"/>
      <c r="X29" s="12"/>
      <c r="Y29" s="12"/>
      <c r="Z29" s="12"/>
      <c r="AA29" s="12"/>
      <c r="AB29" s="12"/>
      <c r="AC29" s="12"/>
      <c r="AD29" s="12"/>
      <c r="AE29" s="103"/>
      <c r="AF29" s="102"/>
      <c r="AG29" s="12"/>
      <c r="AH29" s="12"/>
      <c r="AI29" s="2"/>
      <c r="AJ29" s="12"/>
      <c r="AK29" s="12"/>
      <c r="AL29" s="12"/>
      <c r="AM29" s="12"/>
      <c r="AN29" s="12"/>
      <c r="AO29" s="13"/>
      <c r="AP29" s="11"/>
      <c r="AQ29" s="12"/>
      <c r="AR29" s="4"/>
      <c r="AS29" s="14"/>
      <c r="AT29" s="2"/>
      <c r="AU29" s="95"/>
      <c r="AV29" s="2"/>
      <c r="AW29" s="95"/>
      <c r="AX29" s="104"/>
      <c r="AY29" s="18"/>
      <c r="AZ29" s="18" t="str">
        <f t="shared" si="0"/>
        <v/>
      </c>
      <c r="BA29" s="18" t="str">
        <f t="shared" si="1"/>
        <v/>
      </c>
      <c r="BB29" s="18" t="str">
        <f t="shared" si="2"/>
        <v/>
      </c>
      <c r="BC29" s="18"/>
      <c r="BD29" s="18"/>
      <c r="BE29" s="18"/>
      <c r="BF29" s="18" t="str">
        <f t="shared" si="3"/>
        <v/>
      </c>
      <c r="BG29" s="18" t="str">
        <f t="shared" si="4"/>
        <v/>
      </c>
      <c r="BH29" s="18" t="str">
        <f t="shared" si="5"/>
        <v/>
      </c>
      <c r="BI29" s="18" t="str">
        <f t="shared" si="6"/>
        <v/>
      </c>
      <c r="BJ29" s="18" t="str">
        <f t="shared" si="7"/>
        <v/>
      </c>
      <c r="BK29" s="18" t="str">
        <f t="shared" si="8"/>
        <v/>
      </c>
    </row>
    <row r="30" spans="1:63" ht="8.25" customHeight="1">
      <c r="A30" s="1"/>
      <c r="B30" s="2"/>
      <c r="C30" s="3"/>
      <c r="D30" s="101"/>
      <c r="E30" s="4"/>
      <c r="F30" s="102"/>
      <c r="G30" s="2"/>
      <c r="H30" s="12"/>
      <c r="I30" s="12"/>
      <c r="J30" s="2"/>
      <c r="K30" s="12"/>
      <c r="L30" s="8"/>
      <c r="M30" s="95"/>
      <c r="N30" s="94"/>
      <c r="O30" s="2"/>
      <c r="P30" s="2"/>
      <c r="Q30" s="2"/>
      <c r="R30" s="12"/>
      <c r="S30" s="13"/>
      <c r="T30" s="9"/>
      <c r="U30" s="10"/>
      <c r="V30" s="11"/>
      <c r="W30" s="12"/>
      <c r="X30" s="12"/>
      <c r="Y30" s="12"/>
      <c r="Z30" s="12"/>
      <c r="AA30" s="12"/>
      <c r="AB30" s="12"/>
      <c r="AC30" s="12"/>
      <c r="AD30" s="12"/>
      <c r="AE30" s="103"/>
      <c r="AF30" s="102"/>
      <c r="AG30" s="12"/>
      <c r="AH30" s="12"/>
      <c r="AI30" s="2"/>
      <c r="AJ30" s="12"/>
      <c r="AK30" s="12"/>
      <c r="AL30" s="12"/>
      <c r="AM30" s="12"/>
      <c r="AN30" s="12"/>
      <c r="AO30" s="13"/>
      <c r="AP30" s="11"/>
      <c r="AQ30" s="12"/>
      <c r="AR30" s="4"/>
      <c r="AS30" s="14"/>
      <c r="AT30" s="2"/>
      <c r="AU30" s="95"/>
      <c r="AV30" s="2"/>
      <c r="AW30" s="95"/>
      <c r="AX30" s="104"/>
      <c r="AY30" s="18"/>
      <c r="AZ30" s="18" t="str">
        <f t="shared" si="0"/>
        <v/>
      </c>
      <c r="BA30" s="18" t="str">
        <f t="shared" si="1"/>
        <v/>
      </c>
      <c r="BB30" s="18" t="str">
        <f t="shared" si="2"/>
        <v/>
      </c>
      <c r="BC30" s="18"/>
      <c r="BD30" s="18"/>
      <c r="BE30" s="18"/>
      <c r="BF30" s="18" t="str">
        <f t="shared" si="3"/>
        <v/>
      </c>
      <c r="BG30" s="18" t="str">
        <f t="shared" si="4"/>
        <v/>
      </c>
      <c r="BH30" s="18" t="str">
        <f t="shared" si="5"/>
        <v/>
      </c>
      <c r="BI30" s="18" t="str">
        <f t="shared" si="6"/>
        <v/>
      </c>
      <c r="BJ30" s="18" t="str">
        <f t="shared" si="7"/>
        <v/>
      </c>
      <c r="BK30" s="18" t="str">
        <f t="shared" si="8"/>
        <v/>
      </c>
    </row>
    <row r="31" spans="1:63" ht="8.25" customHeight="1">
      <c r="A31" s="1"/>
      <c r="B31" s="2"/>
      <c r="C31" s="3"/>
      <c r="D31" s="101"/>
      <c r="E31" s="4"/>
      <c r="F31" s="102"/>
      <c r="G31" s="2"/>
      <c r="H31" s="12"/>
      <c r="I31" s="12"/>
      <c r="J31" s="2"/>
      <c r="K31" s="12"/>
      <c r="L31" s="8"/>
      <c r="M31" s="95"/>
      <c r="N31" s="94"/>
      <c r="O31" s="2"/>
      <c r="P31" s="2"/>
      <c r="Q31" s="2"/>
      <c r="R31" s="12"/>
      <c r="S31" s="13"/>
      <c r="T31" s="9"/>
      <c r="U31" s="10"/>
      <c r="V31" s="11"/>
      <c r="W31" s="12"/>
      <c r="X31" s="12"/>
      <c r="Y31" s="12"/>
      <c r="Z31" s="12"/>
      <c r="AA31" s="12"/>
      <c r="AB31" s="12"/>
      <c r="AC31" s="12"/>
      <c r="AD31" s="12"/>
      <c r="AE31" s="103"/>
      <c r="AF31" s="102"/>
      <c r="AG31" s="12"/>
      <c r="AH31" s="12"/>
      <c r="AI31" s="2"/>
      <c r="AJ31" s="12"/>
      <c r="AK31" s="12"/>
      <c r="AL31" s="12"/>
      <c r="AM31" s="12"/>
      <c r="AN31" s="12"/>
      <c r="AO31" s="13"/>
      <c r="AP31" s="11"/>
      <c r="AQ31" s="12"/>
      <c r="AR31" s="4"/>
      <c r="AS31" s="14"/>
      <c r="AT31" s="2"/>
      <c r="AU31" s="95"/>
      <c r="AV31" s="2"/>
      <c r="AW31" s="95"/>
      <c r="AX31" s="104"/>
      <c r="AY31" s="18"/>
      <c r="AZ31" s="18" t="str">
        <f t="shared" si="0"/>
        <v/>
      </c>
      <c r="BA31" s="18" t="str">
        <f t="shared" si="1"/>
        <v/>
      </c>
      <c r="BB31" s="18" t="str">
        <f t="shared" si="2"/>
        <v/>
      </c>
      <c r="BC31" s="18"/>
      <c r="BD31" s="18"/>
      <c r="BE31" s="18"/>
      <c r="BF31" s="18" t="str">
        <f t="shared" si="3"/>
        <v/>
      </c>
      <c r="BG31" s="18" t="str">
        <f t="shared" si="4"/>
        <v/>
      </c>
      <c r="BH31" s="18" t="str">
        <f t="shared" si="5"/>
        <v/>
      </c>
      <c r="BI31" s="18" t="str">
        <f t="shared" si="6"/>
        <v/>
      </c>
      <c r="BJ31" s="18" t="str">
        <f t="shared" si="7"/>
        <v/>
      </c>
      <c r="BK31" s="18" t="str">
        <f t="shared" si="8"/>
        <v/>
      </c>
    </row>
    <row r="32" spans="1:63" ht="8.25" customHeight="1" thickBot="1">
      <c r="A32" s="31"/>
      <c r="B32" s="39"/>
      <c r="C32" s="40"/>
      <c r="D32" s="34"/>
      <c r="E32" s="105"/>
      <c r="F32" s="106"/>
      <c r="G32" s="32"/>
      <c r="H32" s="39"/>
      <c r="I32" s="39"/>
      <c r="J32" s="32"/>
      <c r="K32" s="39"/>
      <c r="L32" s="163"/>
      <c r="M32" s="37"/>
      <c r="N32" s="108"/>
      <c r="O32" s="39"/>
      <c r="P32" s="39"/>
      <c r="Q32" s="39"/>
      <c r="R32" s="32"/>
      <c r="S32" s="40"/>
      <c r="T32" s="41"/>
      <c r="U32" s="42"/>
      <c r="V32" s="43"/>
      <c r="W32" s="39"/>
      <c r="X32" s="39"/>
      <c r="Y32" s="39"/>
      <c r="Z32" s="39"/>
      <c r="AA32" s="39"/>
      <c r="AB32" s="39"/>
      <c r="AC32" s="39"/>
      <c r="AD32" s="39"/>
      <c r="AE32" s="105"/>
      <c r="AF32" s="106"/>
      <c r="AG32" s="39"/>
      <c r="AH32" s="39"/>
      <c r="AI32" s="39"/>
      <c r="AJ32" s="39"/>
      <c r="AK32" s="39"/>
      <c r="AL32" s="39"/>
      <c r="AM32" s="39"/>
      <c r="AN32" s="39"/>
      <c r="AO32" s="40"/>
      <c r="AP32" s="43"/>
      <c r="AQ32" s="39"/>
      <c r="AR32" s="35"/>
      <c r="AS32" s="43"/>
      <c r="AT32" s="32"/>
      <c r="AU32" s="32"/>
      <c r="AV32" s="32"/>
      <c r="AW32" s="37"/>
      <c r="AX32" s="44"/>
      <c r="AY32" s="18"/>
      <c r="AZ32" s="18" t="str">
        <f t="shared" si="0"/>
        <v/>
      </c>
      <c r="BA32" s="18" t="str">
        <f t="shared" si="1"/>
        <v/>
      </c>
      <c r="BB32" s="18" t="str">
        <f t="shared" si="2"/>
        <v/>
      </c>
      <c r="BC32" s="18"/>
      <c r="BD32" s="18"/>
      <c r="BE32" s="18"/>
      <c r="BF32" s="18" t="str">
        <f t="shared" si="3"/>
        <v/>
      </c>
      <c r="BG32" s="18" t="str">
        <f t="shared" si="4"/>
        <v/>
      </c>
      <c r="BH32" s="18" t="str">
        <f t="shared" si="5"/>
        <v/>
      </c>
      <c r="BI32" s="18" t="str">
        <f t="shared" si="6"/>
        <v/>
      </c>
      <c r="BJ32" s="18" t="str">
        <f t="shared" si="7"/>
        <v/>
      </c>
      <c r="BK32" s="18" t="str">
        <f t="shared" si="8"/>
        <v/>
      </c>
    </row>
    <row r="33" spans="1:63" ht="9" customHeight="1" thickBot="1">
      <c r="A33" s="149"/>
      <c r="B33" s="150"/>
      <c r="C33" s="18"/>
      <c r="D33" s="149"/>
      <c r="E33" s="149"/>
      <c r="F33" s="151"/>
      <c r="G33" s="152"/>
      <c r="H33" s="151"/>
      <c r="I33" s="149"/>
      <c r="J33" s="153"/>
      <c r="K33" s="149"/>
      <c r="L33" s="149"/>
      <c r="M33" s="149"/>
      <c r="N33" s="149"/>
      <c r="O33" s="149"/>
      <c r="P33" s="149"/>
      <c r="Q33" s="149"/>
      <c r="R33" s="151"/>
      <c r="S33" s="149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</row>
    <row r="34" spans="1:63" ht="8.25" customHeight="1">
      <c r="A34" s="149"/>
      <c r="B34" s="150"/>
      <c r="C34" s="149"/>
      <c r="D34" s="149"/>
      <c r="E34" s="149"/>
      <c r="F34" s="151"/>
      <c r="G34" s="152"/>
      <c r="H34" s="151"/>
      <c r="I34" s="149"/>
      <c r="J34" s="153"/>
      <c r="K34" s="149"/>
      <c r="L34" s="149"/>
      <c r="M34" s="149"/>
      <c r="N34" s="149"/>
      <c r="O34" s="149"/>
      <c r="P34" s="149"/>
      <c r="Q34" s="149"/>
      <c r="R34" s="151"/>
      <c r="S34" s="149"/>
      <c r="T34" s="151"/>
      <c r="U34" s="144" t="s">
        <v>59</v>
      </c>
      <c r="V34" s="45" t="e">
        <f>AVERAGE(V$5:V32)</f>
        <v>#DIV/0!</v>
      </c>
      <c r="W34" s="45" t="e">
        <f>AVERAGE(W$5:W32)</f>
        <v>#DIV/0!</v>
      </c>
      <c r="X34" s="45" t="s">
        <v>57</v>
      </c>
      <c r="Y34" s="45" t="s">
        <v>57</v>
      </c>
      <c r="Z34" s="45" t="e">
        <f>AVERAGE(Z$5:Z32)</f>
        <v>#DIV/0!</v>
      </c>
      <c r="AA34" s="45" t="e">
        <f>AVERAGE(AA$5:AA32)</f>
        <v>#DIV/0!</v>
      </c>
      <c r="AB34" s="45" t="s">
        <v>57</v>
      </c>
      <c r="AC34" s="45" t="s">
        <v>57</v>
      </c>
      <c r="AD34" s="45" t="e">
        <f>AVERAGE(AD$5:AD32)</f>
        <v>#DIV/0!</v>
      </c>
      <c r="AE34" s="45" t="e">
        <f>AVERAGE(AE$5:AE32)</f>
        <v>#DIV/0!</v>
      </c>
      <c r="AF34" s="45" t="e">
        <f>AVERAGE(AF$5:AF32)</f>
        <v>#DIV/0!</v>
      </c>
      <c r="AG34" s="45" t="e">
        <f>AVERAGE(AG$5:AG32)</f>
        <v>#DIV/0!</v>
      </c>
      <c r="AH34" s="45" t="s">
        <v>57</v>
      </c>
      <c r="AI34" s="45" t="s">
        <v>57</v>
      </c>
      <c r="AJ34" s="45" t="e">
        <f>AVERAGE(AJ$5:AJ32)</f>
        <v>#DIV/0!</v>
      </c>
      <c r="AK34" s="45" t="e">
        <f>AVERAGE(AK$5:AK32)</f>
        <v>#DIV/0!</v>
      </c>
      <c r="AL34" s="45" t="s">
        <v>57</v>
      </c>
      <c r="AM34" s="45" t="s">
        <v>57</v>
      </c>
      <c r="AN34" s="45" t="e">
        <f>AVERAGE(AN$5:AN32)</f>
        <v>#DIV/0!</v>
      </c>
      <c r="AO34" s="46" t="e">
        <f>AVERAGE(AO$5:AO32)</f>
        <v>#DIV/0!</v>
      </c>
      <c r="AP34" s="154"/>
      <c r="AQ34" s="151"/>
      <c r="AR34" s="151"/>
      <c r="AS34" s="47" t="s">
        <v>60</v>
      </c>
      <c r="AT34" s="45" t="s">
        <v>61</v>
      </c>
      <c r="AU34" s="45" t="s">
        <v>62</v>
      </c>
      <c r="AV34" s="46" t="s">
        <v>41</v>
      </c>
      <c r="AW34" s="151"/>
      <c r="AX34" s="151"/>
      <c r="AY34" s="151"/>
      <c r="AZ34" s="155">
        <f t="shared" ref="AZ34:BK34" si="9">SUM(AZ5:AZ32)</f>
        <v>0</v>
      </c>
      <c r="BA34" s="155">
        <f t="shared" si="9"/>
        <v>0</v>
      </c>
      <c r="BB34" s="155">
        <f t="shared" si="9"/>
        <v>0</v>
      </c>
      <c r="BC34" s="155">
        <f t="shared" si="9"/>
        <v>0</v>
      </c>
      <c r="BD34" s="155">
        <f t="shared" si="9"/>
        <v>0</v>
      </c>
      <c r="BE34" s="155">
        <f t="shared" si="9"/>
        <v>0</v>
      </c>
      <c r="BF34" s="155">
        <f t="shared" si="9"/>
        <v>0</v>
      </c>
      <c r="BG34" s="155">
        <f t="shared" si="9"/>
        <v>0</v>
      </c>
      <c r="BH34" s="155">
        <f t="shared" si="9"/>
        <v>0</v>
      </c>
      <c r="BI34" s="155">
        <f t="shared" si="9"/>
        <v>0</v>
      </c>
      <c r="BJ34" s="155">
        <f t="shared" si="9"/>
        <v>0</v>
      </c>
      <c r="BK34" s="155">
        <f t="shared" si="9"/>
        <v>0</v>
      </c>
    </row>
    <row r="35" spans="1:63" ht="8.25" customHeight="1">
      <c r="A35" s="149"/>
      <c r="B35" s="150"/>
      <c r="C35" s="149"/>
      <c r="D35" s="149"/>
      <c r="E35" s="149"/>
      <c r="F35" s="151"/>
      <c r="G35" s="152"/>
      <c r="H35" s="151"/>
      <c r="I35" s="149"/>
      <c r="J35" s="153"/>
      <c r="K35" s="149"/>
      <c r="L35" s="149"/>
      <c r="M35" s="149"/>
      <c r="N35" s="149"/>
      <c r="O35" s="149"/>
      <c r="P35" s="149"/>
      <c r="Q35" s="149"/>
      <c r="R35" s="151"/>
      <c r="S35" s="149"/>
      <c r="T35" s="151"/>
      <c r="U35" s="145" t="s">
        <v>63</v>
      </c>
      <c r="V35" s="2">
        <f>MIN(V$5:V32)</f>
        <v>0</v>
      </c>
      <c r="W35" s="2">
        <f>MIN(W$5:W32)</f>
        <v>0</v>
      </c>
      <c r="X35" s="2" t="s">
        <v>57</v>
      </c>
      <c r="Y35" s="2" t="s">
        <v>57</v>
      </c>
      <c r="Z35" s="2">
        <f>MIN(Z$5:Z32)</f>
        <v>0</v>
      </c>
      <c r="AA35" s="2">
        <f>MIN(AA$5:AA32)</f>
        <v>0</v>
      </c>
      <c r="AB35" s="2" t="s">
        <v>57</v>
      </c>
      <c r="AC35" s="2" t="s">
        <v>57</v>
      </c>
      <c r="AD35" s="2">
        <f>MIN(AD$5:AD32)</f>
        <v>0</v>
      </c>
      <c r="AE35" s="2">
        <f>MIN(AE$5:AE32)</f>
        <v>0</v>
      </c>
      <c r="AF35" s="2">
        <f>MIN(AF$5:AF32)</f>
        <v>0</v>
      </c>
      <c r="AG35" s="2">
        <f>MIN(AG$5:AG32)</f>
        <v>0</v>
      </c>
      <c r="AH35" s="2" t="s">
        <v>57</v>
      </c>
      <c r="AI35" s="2" t="s">
        <v>57</v>
      </c>
      <c r="AJ35" s="2">
        <f>MIN(AJ$5:AJ32)</f>
        <v>0</v>
      </c>
      <c r="AK35" s="2">
        <f>MIN(AK$5:AK32)</f>
        <v>0</v>
      </c>
      <c r="AL35" s="2" t="s">
        <v>57</v>
      </c>
      <c r="AM35" s="2" t="s">
        <v>57</v>
      </c>
      <c r="AN35" s="2">
        <f>MIN(AN$5:AN32)</f>
        <v>0</v>
      </c>
      <c r="AO35" s="29">
        <f>MIN(AO$5:AO32)</f>
        <v>0</v>
      </c>
      <c r="AP35" s="154"/>
      <c r="AQ35" s="151"/>
      <c r="AR35" s="151"/>
      <c r="AS35" s="156" t="s">
        <v>64</v>
      </c>
      <c r="AT35" s="2" t="s">
        <v>65</v>
      </c>
      <c r="AU35" s="2">
        <f>SUM(AQ5:AQ32)</f>
        <v>0</v>
      </c>
      <c r="AV35" s="157">
        <f>SUM(AP5:AP32)</f>
        <v>0</v>
      </c>
      <c r="AW35" s="151"/>
      <c r="AX35" s="151"/>
      <c r="AY35" s="151"/>
      <c r="AZ35" s="158" t="s">
        <v>45</v>
      </c>
      <c r="BA35" s="158" t="s">
        <v>46</v>
      </c>
      <c r="BB35" s="158" t="s">
        <v>47</v>
      </c>
      <c r="BC35" s="158" t="s">
        <v>48</v>
      </c>
      <c r="BD35" s="158" t="s">
        <v>49</v>
      </c>
      <c r="BE35" s="158" t="s">
        <v>50</v>
      </c>
      <c r="BF35" s="158" t="s">
        <v>51</v>
      </c>
      <c r="BG35" s="158" t="s">
        <v>52</v>
      </c>
      <c r="BH35" s="158" t="s">
        <v>53</v>
      </c>
      <c r="BI35" s="158" t="s">
        <v>54</v>
      </c>
      <c r="BJ35" s="159" t="s">
        <v>55</v>
      </c>
      <c r="BK35" s="158" t="s">
        <v>56</v>
      </c>
    </row>
    <row r="36" spans="1:63" ht="8.25" customHeight="1">
      <c r="A36" s="149"/>
      <c r="B36" s="150"/>
      <c r="C36" s="149"/>
      <c r="D36" s="149"/>
      <c r="E36" s="149"/>
      <c r="F36" s="151"/>
      <c r="G36" s="152"/>
      <c r="H36" s="151"/>
      <c r="I36" s="149"/>
      <c r="J36" s="153"/>
      <c r="K36" s="149"/>
      <c r="L36" s="149"/>
      <c r="M36" s="149"/>
      <c r="N36" s="149"/>
      <c r="O36" s="149"/>
      <c r="P36" s="149"/>
      <c r="Q36" s="149"/>
      <c r="R36" s="151"/>
      <c r="S36" s="149"/>
      <c r="T36" s="151"/>
      <c r="U36" s="145" t="s">
        <v>146</v>
      </c>
      <c r="V36" s="2">
        <f>MAX(V$5:V32)</f>
        <v>0</v>
      </c>
      <c r="W36" s="2">
        <f>MAX(W$5:W32)</f>
        <v>0</v>
      </c>
      <c r="X36" s="2" t="s">
        <v>57</v>
      </c>
      <c r="Y36" s="2" t="s">
        <v>57</v>
      </c>
      <c r="Z36" s="2">
        <f>MAX(Z$5:Z32)</f>
        <v>0</v>
      </c>
      <c r="AA36" s="2">
        <f>MAX(AA$5:AA32)</f>
        <v>0</v>
      </c>
      <c r="AB36" s="2" t="s">
        <v>57</v>
      </c>
      <c r="AC36" s="2" t="s">
        <v>57</v>
      </c>
      <c r="AD36" s="2">
        <f>MAX(AD$5:AD32)</f>
        <v>0</v>
      </c>
      <c r="AE36" s="2">
        <f>MAX(AE$5:AE32)</f>
        <v>0</v>
      </c>
      <c r="AF36" s="2">
        <f>MAX(AF$5:AF32)</f>
        <v>0</v>
      </c>
      <c r="AG36" s="2">
        <f>MAX(AG$5:AG32)</f>
        <v>0</v>
      </c>
      <c r="AH36" s="2" t="s">
        <v>57</v>
      </c>
      <c r="AI36" s="2" t="s">
        <v>57</v>
      </c>
      <c r="AJ36" s="2">
        <f>MAX(AJ$5:AJ32)</f>
        <v>0</v>
      </c>
      <c r="AK36" s="2">
        <f>MAX(AK$5:AK32)</f>
        <v>0</v>
      </c>
      <c r="AL36" s="2" t="s">
        <v>57</v>
      </c>
      <c r="AM36" s="2" t="s">
        <v>57</v>
      </c>
      <c r="AN36" s="2">
        <f>MAX(AN$5:AN32)</f>
        <v>0</v>
      </c>
      <c r="AO36" s="29">
        <f>MAX(AO$5:AO32)</f>
        <v>0</v>
      </c>
      <c r="AP36" s="154"/>
      <c r="AQ36" s="151"/>
      <c r="AR36" s="151"/>
      <c r="AS36" s="48" t="s">
        <v>46</v>
      </c>
      <c r="AT36" s="2">
        <f>AZ34</f>
        <v>0</v>
      </c>
      <c r="AU36" s="2">
        <f>BA34</f>
        <v>0</v>
      </c>
      <c r="AV36" s="29">
        <f>BB34</f>
        <v>0</v>
      </c>
      <c r="AW36" s="151"/>
      <c r="AX36" s="151"/>
      <c r="AY36" s="151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</row>
    <row r="37" spans="1:63" ht="8.25" customHeight="1">
      <c r="A37" s="149"/>
      <c r="B37" s="150"/>
      <c r="C37" s="149"/>
      <c r="D37" s="149"/>
      <c r="E37" s="149"/>
      <c r="F37" s="151"/>
      <c r="G37" s="152"/>
      <c r="H37" s="151"/>
      <c r="I37" s="149"/>
      <c r="J37" s="153"/>
      <c r="K37" s="149"/>
      <c r="L37" s="149"/>
      <c r="M37" s="149"/>
      <c r="N37" s="149"/>
      <c r="O37" s="149"/>
      <c r="P37" s="149"/>
      <c r="Q37" s="149"/>
      <c r="R37" s="151"/>
      <c r="S37" s="149"/>
      <c r="T37" s="151"/>
      <c r="U37" s="145" t="s">
        <v>66</v>
      </c>
      <c r="V37" s="2" t="e">
        <f>STDEV(V$5:V32)</f>
        <v>#DIV/0!</v>
      </c>
      <c r="W37" s="2" t="e">
        <f>STDEV(W$5:W32)</f>
        <v>#DIV/0!</v>
      </c>
      <c r="X37" s="2" t="s">
        <v>57</v>
      </c>
      <c r="Y37" s="2" t="s">
        <v>57</v>
      </c>
      <c r="Z37" s="2" t="e">
        <f>STDEV(Z$5:Z32)</f>
        <v>#DIV/0!</v>
      </c>
      <c r="AA37" s="2" t="e">
        <f>STDEV(AA$5:AA32)</f>
        <v>#DIV/0!</v>
      </c>
      <c r="AB37" s="2" t="s">
        <v>57</v>
      </c>
      <c r="AC37" s="2" t="s">
        <v>57</v>
      </c>
      <c r="AD37" s="2" t="e">
        <f>STDEV(AD$5:AD32)</f>
        <v>#DIV/0!</v>
      </c>
      <c r="AE37" s="2" t="e">
        <f>STDEV(AE$5:AE32)</f>
        <v>#DIV/0!</v>
      </c>
      <c r="AF37" s="2" t="e">
        <f>STDEV(AF$5:AF32)</f>
        <v>#DIV/0!</v>
      </c>
      <c r="AG37" s="2" t="e">
        <f>STDEV(AG$5:AG32)</f>
        <v>#DIV/0!</v>
      </c>
      <c r="AH37" s="2" t="s">
        <v>57</v>
      </c>
      <c r="AI37" s="2" t="s">
        <v>57</v>
      </c>
      <c r="AJ37" s="2" t="e">
        <f>STDEV(AJ$5:AJ32)</f>
        <v>#DIV/0!</v>
      </c>
      <c r="AK37" s="2" t="e">
        <f>STDEV(AK$5:AK32)</f>
        <v>#DIV/0!</v>
      </c>
      <c r="AL37" s="2" t="s">
        <v>57</v>
      </c>
      <c r="AM37" s="2" t="s">
        <v>57</v>
      </c>
      <c r="AN37" s="2" t="e">
        <f>STDEV(AN$5:AN32)</f>
        <v>#DIV/0!</v>
      </c>
      <c r="AO37" s="29" t="e">
        <f>STDEV(AO$5:AO32)</f>
        <v>#DIV/0!</v>
      </c>
      <c r="AP37" s="154"/>
      <c r="AQ37" s="151"/>
      <c r="AR37" s="151"/>
      <c r="AS37" s="48" t="s">
        <v>49</v>
      </c>
      <c r="AT37" s="2">
        <f>BC34</f>
        <v>0</v>
      </c>
      <c r="AU37" s="2">
        <f>BD34</f>
        <v>0</v>
      </c>
      <c r="AV37" s="29">
        <f>BE34</f>
        <v>0</v>
      </c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</row>
    <row r="38" spans="1:63" ht="9" customHeight="1" thickBot="1">
      <c r="A38" s="149"/>
      <c r="B38" s="150"/>
      <c r="C38" s="149"/>
      <c r="D38" s="149"/>
      <c r="E38" s="149"/>
      <c r="F38" s="151"/>
      <c r="G38" s="152"/>
      <c r="H38" s="151"/>
      <c r="I38" s="149"/>
      <c r="J38" s="153"/>
      <c r="K38" s="149"/>
      <c r="L38" s="149"/>
      <c r="M38" s="149"/>
      <c r="N38" s="149"/>
      <c r="O38" s="149"/>
      <c r="P38" s="149"/>
      <c r="Q38" s="149"/>
      <c r="R38" s="151"/>
      <c r="S38" s="149"/>
      <c r="T38" s="151"/>
      <c r="U38" s="146" t="s">
        <v>67</v>
      </c>
      <c r="V38" s="32" t="e">
        <f t="shared" ref="V38:AA38" si="10">IF(V34+(3*V37)&gt;100,100,V34+(3*V37))</f>
        <v>#DIV/0!</v>
      </c>
      <c r="W38" s="32" t="e">
        <f t="shared" si="10"/>
        <v>#DIV/0!</v>
      </c>
      <c r="X38" s="32" t="s">
        <v>57</v>
      </c>
      <c r="Y38" s="32" t="s">
        <v>57</v>
      </c>
      <c r="Z38" s="32" t="e">
        <f t="shared" si="10"/>
        <v>#DIV/0!</v>
      </c>
      <c r="AA38" s="32" t="e">
        <f t="shared" si="10"/>
        <v>#DIV/0!</v>
      </c>
      <c r="AB38" s="32" t="s">
        <v>57</v>
      </c>
      <c r="AC38" s="32" t="s">
        <v>57</v>
      </c>
      <c r="AD38" s="32" t="e">
        <f t="shared" ref="AD38:AK38" si="11">IF(AD34+(3*AD37)&gt;100,100,AD34+(3*AD37))</f>
        <v>#DIV/0!</v>
      </c>
      <c r="AE38" s="32" t="e">
        <f t="shared" si="11"/>
        <v>#DIV/0!</v>
      </c>
      <c r="AF38" s="32" t="e">
        <f t="shared" si="11"/>
        <v>#DIV/0!</v>
      </c>
      <c r="AG38" s="32" t="e">
        <f t="shared" si="11"/>
        <v>#DIV/0!</v>
      </c>
      <c r="AH38" s="32" t="s">
        <v>57</v>
      </c>
      <c r="AI38" s="32" t="s">
        <v>57</v>
      </c>
      <c r="AJ38" s="32" t="e">
        <f t="shared" si="11"/>
        <v>#DIV/0!</v>
      </c>
      <c r="AK38" s="32" t="e">
        <f t="shared" si="11"/>
        <v>#DIV/0!</v>
      </c>
      <c r="AL38" s="32" t="s">
        <v>57</v>
      </c>
      <c r="AM38" s="32" t="s">
        <v>57</v>
      </c>
      <c r="AN38" s="32" t="e">
        <f>IF(AN34+(3*AN37)&gt;100,100,AN34+(3*AN37))</f>
        <v>#DIV/0!</v>
      </c>
      <c r="AO38" s="49" t="e">
        <f>IF(AO34+(3*AO37)&gt;100,100,AO34+(3*AO37))</f>
        <v>#DIV/0!</v>
      </c>
      <c r="AP38" s="154"/>
      <c r="AQ38" s="151"/>
      <c r="AR38" s="151"/>
      <c r="AS38" s="48" t="s">
        <v>52</v>
      </c>
      <c r="AT38" s="2">
        <f>BF34</f>
        <v>0</v>
      </c>
      <c r="AU38" s="2">
        <f>BG34</f>
        <v>0</v>
      </c>
      <c r="AV38" s="29">
        <f>BH34</f>
        <v>0</v>
      </c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</row>
    <row r="39" spans="1:63" ht="9" customHeight="1" thickBot="1">
      <c r="A39" s="149"/>
      <c r="B39" s="150"/>
      <c r="C39" s="149"/>
      <c r="D39" s="149"/>
      <c r="E39" s="149"/>
      <c r="F39" s="151"/>
      <c r="G39" s="152"/>
      <c r="H39" s="151"/>
      <c r="I39" s="149"/>
      <c r="J39" s="153"/>
      <c r="K39" s="149"/>
      <c r="L39" s="149"/>
      <c r="M39" s="149"/>
      <c r="N39" s="149"/>
      <c r="O39" s="149"/>
      <c r="P39" s="149"/>
      <c r="Q39" s="149"/>
      <c r="R39" s="151"/>
      <c r="S39" s="149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4"/>
      <c r="AL39" s="151"/>
      <c r="AM39" s="151"/>
      <c r="AN39" s="151"/>
      <c r="AO39" s="151"/>
      <c r="AP39" s="151"/>
      <c r="AQ39" s="151"/>
      <c r="AR39" s="151"/>
      <c r="AS39" s="50" t="s">
        <v>58</v>
      </c>
      <c r="AT39" s="32">
        <f>BI34</f>
        <v>0</v>
      </c>
      <c r="AU39" s="32">
        <f>BJ34</f>
        <v>0</v>
      </c>
      <c r="AV39" s="49">
        <f>BK34</f>
        <v>0</v>
      </c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8" t="str">
        <f>IF(AND($AS39="HAST",NOT(ISBLANK($AW39))),$AX39*$AU39,"")</f>
        <v/>
      </c>
      <c r="BJ39" s="18" t="str">
        <f>IF(AND($AS39="HAST",NOT(ISBLANK($AW39))),$AX39,"")</f>
        <v/>
      </c>
      <c r="BK39" s="18" t="str">
        <f>IF(AND($AS39="HAST",NOT(ISBLANK($AW39))),$AW39,"")</f>
        <v/>
      </c>
    </row>
    <row r="40" spans="1:63" ht="8.25" customHeight="1">
      <c r="U40" s="152" t="s">
        <v>69</v>
      </c>
      <c r="V40" s="148"/>
      <c r="W40" s="148"/>
    </row>
    <row r="41" spans="1:63" ht="8.25" customHeight="1">
      <c r="U41" s="152"/>
      <c r="V41" s="160" t="s">
        <v>70</v>
      </c>
      <c r="W41" s="148"/>
    </row>
    <row r="42" spans="1:63" ht="8.25" customHeight="1">
      <c r="U42" s="152"/>
      <c r="V42" s="160" t="s">
        <v>71</v>
      </c>
      <c r="W42" s="148"/>
    </row>
    <row r="43" spans="1:63" ht="8.25" customHeight="1">
      <c r="U43" s="152"/>
      <c r="V43" s="160" t="s">
        <v>72</v>
      </c>
      <c r="W43" s="148"/>
    </row>
    <row r="44" spans="1:63" ht="8.25" customHeight="1">
      <c r="U44" s="152"/>
      <c r="V44" s="160" t="s">
        <v>73</v>
      </c>
      <c r="W44" s="148"/>
    </row>
    <row r="45" spans="1:63" ht="8.25" customHeight="1">
      <c r="U45" s="152"/>
      <c r="V45" s="160" t="s">
        <v>74</v>
      </c>
      <c r="W45" s="148"/>
    </row>
  </sheetData>
  <mergeCells count="37">
    <mergeCell ref="AX3:AX4"/>
    <mergeCell ref="Z3:AA3"/>
    <mergeCell ref="AB3:AC3"/>
    <mergeCell ref="AD3:AE3"/>
    <mergeCell ref="AF3:AG3"/>
    <mergeCell ref="AH3:AI3"/>
    <mergeCell ref="AJ3:AK3"/>
    <mergeCell ref="AL3:AM3"/>
    <mergeCell ref="AN3:AO3"/>
    <mergeCell ref="AQ3:AQ4"/>
    <mergeCell ref="AR3:AR4"/>
    <mergeCell ref="AS3:AS4"/>
    <mergeCell ref="AF1:AO2"/>
    <mergeCell ref="AP1:AR2"/>
    <mergeCell ref="AS1:AX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S2"/>
    <mergeCell ref="T1:T4"/>
    <mergeCell ref="U1:U4"/>
    <mergeCell ref="P3:P4"/>
    <mergeCell ref="V1:AE2"/>
    <mergeCell ref="L3:L4"/>
    <mergeCell ref="M3:M4"/>
    <mergeCell ref="O3:O4"/>
    <mergeCell ref="X3:Y3"/>
    <mergeCell ref="Q3:Q4"/>
    <mergeCell ref="R3:R4"/>
    <mergeCell ref="S3:S4"/>
    <mergeCell ref="V3:W3"/>
  </mergeCells>
  <conditionalFormatting sqref="AW5:AW31">
    <cfRule type="cellIs" dxfId="82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36"/>
  <sheetViews>
    <sheetView showGridLines="0" zoomScale="140" zoomScaleNormal="140" workbookViewId="0">
      <pane xSplit="5" ySplit="4" topLeftCell="V5" activePane="bottomRight" state="frozen"/>
      <selection activeCell="L8" sqref="L8:N10"/>
      <selection pane="topRight" activeCell="L8" sqref="L8:N10"/>
      <selection pane="bottomLeft" activeCell="L8" sqref="L8:N10"/>
      <selection pane="bottomRight" activeCell="AG18" sqref="AG18"/>
    </sheetView>
  </sheetViews>
  <sheetFormatPr defaultColWidth="14.453125" defaultRowHeight="15" customHeight="1"/>
  <cols>
    <col min="1" max="1" width="7.7265625" style="30" bestFit="1" customWidth="1"/>
    <col min="2" max="2" width="3.26953125" style="30" customWidth="1"/>
    <col min="3" max="3" width="6" style="30" customWidth="1"/>
    <col min="4" max="5" width="4" style="30" customWidth="1"/>
    <col min="6" max="6" width="5.81640625" style="30" bestFit="1" customWidth="1"/>
    <col min="7" max="7" width="1.54296875" style="30" customWidth="1"/>
    <col min="8" max="8" width="5.81640625" style="30" bestFit="1" customWidth="1"/>
    <col min="9" max="9" width="3.26953125" style="30" customWidth="1"/>
    <col min="10" max="10" width="1.54296875" style="30" customWidth="1"/>
    <col min="11" max="11" width="3.453125" style="30" customWidth="1"/>
    <col min="12" max="12" width="5.1796875" style="30" customWidth="1"/>
    <col min="13" max="13" width="7.81640625" style="30" customWidth="1"/>
    <col min="14" max="14" width="4.453125" style="30" customWidth="1"/>
    <col min="15" max="15" width="3.1796875" style="30" customWidth="1"/>
    <col min="16" max="16" width="9" style="30" bestFit="1" customWidth="1"/>
    <col min="17" max="17" width="7.81640625" style="30" customWidth="1"/>
    <col min="18" max="18" width="2.54296875" style="30" customWidth="1"/>
    <col min="19" max="19" width="8.7265625" style="30" customWidth="1"/>
    <col min="20" max="20" width="11" style="30" customWidth="1"/>
    <col min="21" max="21" width="8.26953125" style="30" customWidth="1"/>
    <col min="22" max="43" width="2.7265625" style="30" customWidth="1"/>
    <col min="44" max="44" width="5.54296875" style="30" customWidth="1"/>
    <col min="45" max="45" width="5" style="30" customWidth="1"/>
    <col min="46" max="46" width="7.54296875" style="30" customWidth="1"/>
    <col min="47" max="48" width="4.54296875" style="30" customWidth="1"/>
    <col min="49" max="49" width="2.7265625" style="30" customWidth="1"/>
    <col min="50" max="50" width="3" style="30" customWidth="1"/>
    <col min="51" max="51" width="1.26953125" style="30" customWidth="1"/>
    <col min="52" max="52" width="6.54296875" style="30" customWidth="1"/>
    <col min="53" max="53" width="3.7265625" style="30" customWidth="1"/>
    <col min="54" max="54" width="5.54296875" style="30" customWidth="1"/>
    <col min="55" max="57" width="2.81640625" style="30" hidden="1" customWidth="1"/>
    <col min="58" max="58" width="6.54296875" style="30" customWidth="1"/>
    <col min="59" max="59" width="4.26953125" style="30" customWidth="1"/>
    <col min="60" max="60" width="5.7265625" style="30" customWidth="1"/>
    <col min="61" max="61" width="6.7265625" style="30" customWidth="1"/>
    <col min="62" max="62" width="4.26953125" style="30" customWidth="1"/>
    <col min="63" max="63" width="6" style="30" customWidth="1"/>
    <col min="64" max="73" width="9.1796875" style="30" customWidth="1"/>
    <col min="74" max="16384" width="14.453125" style="30"/>
  </cols>
  <sheetData>
    <row r="1" spans="1:63" ht="10.5" customHeight="1">
      <c r="A1" s="322" t="s">
        <v>0</v>
      </c>
      <c r="B1" s="360"/>
      <c r="C1" s="361"/>
      <c r="D1" s="324" t="s">
        <v>1</v>
      </c>
      <c r="E1" s="365"/>
      <c r="F1" s="396" t="s">
        <v>2</v>
      </c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28" t="s">
        <v>3</v>
      </c>
      <c r="U1" s="331" t="s">
        <v>4</v>
      </c>
      <c r="V1" s="334" t="s">
        <v>5</v>
      </c>
      <c r="W1" s="360"/>
      <c r="X1" s="360"/>
      <c r="Y1" s="360"/>
      <c r="Z1" s="360"/>
      <c r="AA1" s="360"/>
      <c r="AB1" s="360"/>
      <c r="AC1" s="360"/>
      <c r="AD1" s="360"/>
      <c r="AE1" s="365"/>
      <c r="AF1" s="331" t="s">
        <v>6</v>
      </c>
      <c r="AG1" s="360"/>
      <c r="AH1" s="360"/>
      <c r="AI1" s="360"/>
      <c r="AJ1" s="360"/>
      <c r="AK1" s="360"/>
      <c r="AL1" s="360"/>
      <c r="AM1" s="360"/>
      <c r="AN1" s="360"/>
      <c r="AO1" s="361"/>
      <c r="AP1" s="302" t="s">
        <v>7</v>
      </c>
      <c r="AQ1" s="360"/>
      <c r="AR1" s="365"/>
      <c r="AS1" s="306" t="s">
        <v>8</v>
      </c>
      <c r="AT1" s="360"/>
      <c r="AU1" s="360"/>
      <c r="AV1" s="360"/>
      <c r="AW1" s="360"/>
      <c r="AX1" s="3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</row>
    <row r="2" spans="1:63" ht="10.5" customHeight="1">
      <c r="A2" s="395"/>
      <c r="B2" s="363"/>
      <c r="C2" s="364"/>
      <c r="D2" s="366"/>
      <c r="E2" s="367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77"/>
      <c r="U2" s="368"/>
      <c r="V2" s="366"/>
      <c r="W2" s="363"/>
      <c r="X2" s="363"/>
      <c r="Y2" s="363"/>
      <c r="Z2" s="363"/>
      <c r="AA2" s="363"/>
      <c r="AB2" s="363"/>
      <c r="AC2" s="363"/>
      <c r="AD2" s="363"/>
      <c r="AE2" s="367"/>
      <c r="AF2" s="363"/>
      <c r="AG2" s="363"/>
      <c r="AH2" s="363"/>
      <c r="AI2" s="363"/>
      <c r="AJ2" s="363"/>
      <c r="AK2" s="363"/>
      <c r="AL2" s="363"/>
      <c r="AM2" s="363"/>
      <c r="AN2" s="363"/>
      <c r="AO2" s="364"/>
      <c r="AP2" s="366"/>
      <c r="AQ2" s="363"/>
      <c r="AR2" s="367"/>
      <c r="AS2" s="363"/>
      <c r="AT2" s="363"/>
      <c r="AU2" s="363"/>
      <c r="AV2" s="363"/>
      <c r="AW2" s="363"/>
      <c r="AX2" s="372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</row>
    <row r="3" spans="1:63" ht="10.5" customHeight="1">
      <c r="A3" s="309" t="s">
        <v>9</v>
      </c>
      <c r="B3" s="311" t="s">
        <v>10</v>
      </c>
      <c r="C3" s="317" t="s">
        <v>131</v>
      </c>
      <c r="D3" s="315" t="s">
        <v>11</v>
      </c>
      <c r="E3" s="358" t="s">
        <v>12</v>
      </c>
      <c r="F3" s="394" t="s">
        <v>13</v>
      </c>
      <c r="G3" s="384"/>
      <c r="H3" s="374"/>
      <c r="I3" s="321" t="s">
        <v>14</v>
      </c>
      <c r="J3" s="384"/>
      <c r="K3" s="374"/>
      <c r="L3" s="389" t="s">
        <v>16</v>
      </c>
      <c r="M3" s="311" t="s">
        <v>17</v>
      </c>
      <c r="N3" s="107" t="s">
        <v>18</v>
      </c>
      <c r="O3" s="389" t="s">
        <v>19</v>
      </c>
      <c r="P3" s="389" t="s">
        <v>20</v>
      </c>
      <c r="Q3" s="389" t="s">
        <v>21</v>
      </c>
      <c r="R3" s="311" t="s">
        <v>22</v>
      </c>
      <c r="S3" s="317" t="s">
        <v>23</v>
      </c>
      <c r="T3" s="377"/>
      <c r="U3" s="368"/>
      <c r="V3" s="339" t="s">
        <v>24</v>
      </c>
      <c r="W3" s="374"/>
      <c r="X3" s="338" t="s">
        <v>25</v>
      </c>
      <c r="Y3" s="374"/>
      <c r="Z3" s="338" t="s">
        <v>26</v>
      </c>
      <c r="AA3" s="374"/>
      <c r="AB3" s="338" t="s">
        <v>27</v>
      </c>
      <c r="AC3" s="374"/>
      <c r="AD3" s="338" t="s">
        <v>28</v>
      </c>
      <c r="AE3" s="397"/>
      <c r="AF3" s="398" t="s">
        <v>24</v>
      </c>
      <c r="AG3" s="374"/>
      <c r="AH3" s="338" t="s">
        <v>25</v>
      </c>
      <c r="AI3" s="374"/>
      <c r="AJ3" s="338" t="s">
        <v>26</v>
      </c>
      <c r="AK3" s="374"/>
      <c r="AL3" s="338" t="s">
        <v>27</v>
      </c>
      <c r="AM3" s="374"/>
      <c r="AN3" s="338" t="s">
        <v>28</v>
      </c>
      <c r="AO3" s="374"/>
      <c r="AP3" s="19" t="s">
        <v>29</v>
      </c>
      <c r="AQ3" s="349" t="s">
        <v>30</v>
      </c>
      <c r="AR3" s="350" t="s">
        <v>31</v>
      </c>
      <c r="AS3" s="345" t="s">
        <v>32</v>
      </c>
      <c r="AT3" s="20" t="s">
        <v>33</v>
      </c>
      <c r="AU3" s="20" t="s">
        <v>34</v>
      </c>
      <c r="AV3" s="20" t="s">
        <v>35</v>
      </c>
      <c r="AW3" s="20" t="s">
        <v>29</v>
      </c>
      <c r="AX3" s="347" t="s">
        <v>30</v>
      </c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</row>
    <row r="4" spans="1:63" ht="10.5" customHeight="1">
      <c r="A4" s="387"/>
      <c r="B4" s="375"/>
      <c r="C4" s="383"/>
      <c r="D4" s="393"/>
      <c r="E4" s="369"/>
      <c r="F4" s="98" t="s">
        <v>36</v>
      </c>
      <c r="G4" s="21" t="s">
        <v>37</v>
      </c>
      <c r="H4" s="22" t="s">
        <v>36</v>
      </c>
      <c r="I4" s="22" t="s">
        <v>36</v>
      </c>
      <c r="J4" s="21" t="s">
        <v>37</v>
      </c>
      <c r="K4" s="22" t="s">
        <v>36</v>
      </c>
      <c r="L4" s="375"/>
      <c r="M4" s="375"/>
      <c r="N4" s="23" t="s">
        <v>68</v>
      </c>
      <c r="O4" s="375"/>
      <c r="P4" s="375"/>
      <c r="Q4" s="375"/>
      <c r="R4" s="375"/>
      <c r="S4" s="383"/>
      <c r="T4" s="378"/>
      <c r="U4" s="379"/>
      <c r="V4" s="24" t="s">
        <v>29</v>
      </c>
      <c r="W4" s="25" t="s">
        <v>40</v>
      </c>
      <c r="X4" s="21" t="s">
        <v>29</v>
      </c>
      <c r="Y4" s="25" t="s">
        <v>40</v>
      </c>
      <c r="Z4" s="21" t="s">
        <v>29</v>
      </c>
      <c r="AA4" s="25" t="s">
        <v>40</v>
      </c>
      <c r="AB4" s="21" t="s">
        <v>29</v>
      </c>
      <c r="AC4" s="25" t="s">
        <v>40</v>
      </c>
      <c r="AD4" s="21" t="s">
        <v>29</v>
      </c>
      <c r="AE4" s="99" t="s">
        <v>40</v>
      </c>
      <c r="AF4" s="100" t="s">
        <v>29</v>
      </c>
      <c r="AG4" s="25" t="s">
        <v>40</v>
      </c>
      <c r="AH4" s="21" t="s">
        <v>29</v>
      </c>
      <c r="AI4" s="25" t="s">
        <v>40</v>
      </c>
      <c r="AJ4" s="21" t="s">
        <v>29</v>
      </c>
      <c r="AK4" s="25" t="s">
        <v>40</v>
      </c>
      <c r="AL4" s="21" t="s">
        <v>29</v>
      </c>
      <c r="AM4" s="25" t="s">
        <v>40</v>
      </c>
      <c r="AN4" s="21" t="s">
        <v>29</v>
      </c>
      <c r="AO4" s="26" t="s">
        <v>40</v>
      </c>
      <c r="AP4" s="27" t="s">
        <v>41</v>
      </c>
      <c r="AQ4" s="375"/>
      <c r="AR4" s="369"/>
      <c r="AS4" s="370"/>
      <c r="AT4" s="28" t="s">
        <v>42</v>
      </c>
      <c r="AU4" s="28" t="s">
        <v>43</v>
      </c>
      <c r="AV4" s="28" t="s">
        <v>44</v>
      </c>
      <c r="AW4" s="28" t="s">
        <v>41</v>
      </c>
      <c r="AX4" s="373"/>
      <c r="AY4" s="71"/>
      <c r="AZ4" s="73" t="s">
        <v>45</v>
      </c>
      <c r="BA4" s="73" t="s">
        <v>46</v>
      </c>
      <c r="BB4" s="73" t="s">
        <v>47</v>
      </c>
      <c r="BC4" s="73" t="s">
        <v>48</v>
      </c>
      <c r="BD4" s="73" t="s">
        <v>49</v>
      </c>
      <c r="BE4" s="73" t="s">
        <v>50</v>
      </c>
      <c r="BF4" s="73" t="s">
        <v>51</v>
      </c>
      <c r="BG4" s="73" t="s">
        <v>52</v>
      </c>
      <c r="BH4" s="73" t="s">
        <v>53</v>
      </c>
      <c r="BI4" s="73" t="s">
        <v>54</v>
      </c>
      <c r="BJ4" s="73" t="s">
        <v>55</v>
      </c>
      <c r="BK4" s="73" t="s">
        <v>56</v>
      </c>
    </row>
    <row r="5" spans="1:63" ht="8.25" customHeight="1">
      <c r="A5" s="1"/>
      <c r="B5" s="2"/>
      <c r="C5" s="3"/>
      <c r="D5" s="11"/>
      <c r="E5" s="4"/>
      <c r="F5" s="102"/>
      <c r="G5" s="2"/>
      <c r="H5" s="12"/>
      <c r="I5" s="12"/>
      <c r="J5" s="2"/>
      <c r="K5" s="12"/>
      <c r="L5" s="95"/>
      <c r="M5" s="94"/>
      <c r="N5" s="126"/>
      <c r="O5" s="2"/>
      <c r="P5" s="2"/>
      <c r="Q5" s="2"/>
      <c r="R5" s="12"/>
      <c r="S5" s="13"/>
      <c r="T5" s="10"/>
      <c r="U5" s="10"/>
      <c r="V5" s="11"/>
      <c r="W5" s="12"/>
      <c r="X5" s="12"/>
      <c r="Y5" s="12"/>
      <c r="Z5" s="12"/>
      <c r="AA5" s="12"/>
      <c r="AB5" s="12"/>
      <c r="AC5" s="12"/>
      <c r="AD5" s="12"/>
      <c r="AE5" s="103"/>
      <c r="AF5" s="102"/>
      <c r="AG5" s="12"/>
      <c r="AH5" s="12"/>
      <c r="AI5" s="2"/>
      <c r="AJ5" s="12"/>
      <c r="AK5" s="12"/>
      <c r="AL5" s="12"/>
      <c r="AM5" s="12"/>
      <c r="AN5" s="12"/>
      <c r="AO5" s="13"/>
      <c r="AP5" s="11"/>
      <c r="AQ5" s="12"/>
      <c r="AR5" s="4"/>
      <c r="AS5" s="102"/>
      <c r="AT5" s="16"/>
      <c r="AU5" s="2"/>
      <c r="AV5" s="2"/>
      <c r="AW5" s="2"/>
      <c r="AX5" s="29"/>
      <c r="AY5" s="18"/>
      <c r="AZ5" s="18" t="str">
        <f t="shared" ref="AZ5:AZ23" si="0">IF(AND($AS5="TC",NOT(ISBLANK($AW5))),$AX5*$AU5,"")</f>
        <v/>
      </c>
      <c r="BA5" s="18" t="str">
        <f t="shared" ref="BA5:BA23" si="1">IF(AND($AS5="TC",NOT(ISBLANK($AW5))),$AX5,"")</f>
        <v/>
      </c>
      <c r="BB5" s="18" t="str">
        <f t="shared" ref="BB5:BB23" si="2">IF(AND($AS5="TC",NOT(ISBLANK($AW5))),$AW5,"")</f>
        <v/>
      </c>
      <c r="BC5" s="18"/>
      <c r="BD5" s="18"/>
      <c r="BE5" s="18"/>
      <c r="BF5" s="18" t="str">
        <f t="shared" ref="BF5:BF23" si="3">IF(AND($AS5="HTS",NOT(ISBLANK($AW5))),$AX5*$AU5,"")</f>
        <v/>
      </c>
      <c r="BG5" s="18" t="str">
        <f t="shared" ref="BG5:BG23" si="4">IF(AND($AS5="HTS",NOT(ISBLANK($AW5))),$AX5,"")</f>
        <v/>
      </c>
      <c r="BH5" s="18" t="str">
        <f t="shared" ref="BH5:BH23" si="5">IF(AND($AS5="HTS",NOT(ISBLANK($AW5))),$AW5,"")</f>
        <v/>
      </c>
      <c r="BI5" s="18" t="str">
        <f t="shared" ref="BI5:BI23" si="6">IF(AND($AS5="HAST",NOT(ISBLANK($AW5))),$AX5*$AU5,"")</f>
        <v/>
      </c>
      <c r="BJ5" s="18" t="str">
        <f t="shared" ref="BJ5:BJ23" si="7">IF(AND($AS5="HAST",NOT(ISBLANK($AW5))),$AX5,"")</f>
        <v/>
      </c>
      <c r="BK5" s="18" t="str">
        <f t="shared" ref="BK5:BK23" si="8">IF(AND($AS5="HAST",NOT(ISBLANK($AW5))),$AW5,"")</f>
        <v/>
      </c>
    </row>
    <row r="6" spans="1:63" ht="8.25" customHeight="1">
      <c r="A6" s="1"/>
      <c r="B6" s="2"/>
      <c r="C6" s="3"/>
      <c r="D6" s="11"/>
      <c r="E6" s="4"/>
      <c r="F6" s="102"/>
      <c r="G6" s="2"/>
      <c r="H6" s="12"/>
      <c r="I6" s="12"/>
      <c r="J6" s="2"/>
      <c r="K6" s="12"/>
      <c r="L6" s="95"/>
      <c r="M6" s="94"/>
      <c r="N6" s="126"/>
      <c r="O6" s="2"/>
      <c r="P6" s="2"/>
      <c r="Q6" s="2"/>
      <c r="R6" s="12"/>
      <c r="S6" s="13"/>
      <c r="T6" s="10"/>
      <c r="U6" s="10"/>
      <c r="V6" s="11"/>
      <c r="W6" s="12"/>
      <c r="X6" s="12"/>
      <c r="Y6" s="12"/>
      <c r="Z6" s="12"/>
      <c r="AA6" s="12"/>
      <c r="AB6" s="12"/>
      <c r="AC6" s="12"/>
      <c r="AD6" s="12"/>
      <c r="AE6" s="103"/>
      <c r="AF6" s="102"/>
      <c r="AG6" s="12"/>
      <c r="AH6" s="12"/>
      <c r="AI6" s="2"/>
      <c r="AJ6" s="12"/>
      <c r="AK6" s="12"/>
      <c r="AL6" s="12"/>
      <c r="AM6" s="12"/>
      <c r="AN6" s="12"/>
      <c r="AO6" s="13"/>
      <c r="AP6" s="11"/>
      <c r="AQ6" s="12"/>
      <c r="AR6" s="4"/>
      <c r="AS6" s="102"/>
      <c r="AT6" s="16"/>
      <c r="AU6" s="2"/>
      <c r="AV6" s="2"/>
      <c r="AW6" s="2"/>
      <c r="AX6" s="29"/>
      <c r="AY6" s="18"/>
      <c r="AZ6" s="18" t="str">
        <f t="shared" si="0"/>
        <v/>
      </c>
      <c r="BA6" s="18" t="str">
        <f t="shared" si="1"/>
        <v/>
      </c>
      <c r="BB6" s="18" t="str">
        <f t="shared" si="2"/>
        <v/>
      </c>
      <c r="BC6" s="18"/>
      <c r="BD6" s="18"/>
      <c r="BE6" s="18"/>
      <c r="BF6" s="18" t="str">
        <f t="shared" si="3"/>
        <v/>
      </c>
      <c r="BG6" s="18" t="str">
        <f t="shared" si="4"/>
        <v/>
      </c>
      <c r="BH6" s="18" t="str">
        <f t="shared" si="5"/>
        <v/>
      </c>
      <c r="BI6" s="18" t="str">
        <f t="shared" si="6"/>
        <v/>
      </c>
      <c r="BJ6" s="18" t="str">
        <f t="shared" si="7"/>
        <v/>
      </c>
      <c r="BK6" s="18" t="str">
        <f t="shared" si="8"/>
        <v/>
      </c>
    </row>
    <row r="7" spans="1:63" ht="8.25" customHeight="1">
      <c r="A7" s="1"/>
      <c r="B7" s="2"/>
      <c r="C7" s="3"/>
      <c r="D7" s="101"/>
      <c r="E7" s="4"/>
      <c r="F7" s="102"/>
      <c r="G7" s="2"/>
      <c r="H7" s="12"/>
      <c r="I7" s="12"/>
      <c r="J7" s="2"/>
      <c r="K7" s="12"/>
      <c r="L7" s="2"/>
      <c r="M7" s="95"/>
      <c r="N7" s="94"/>
      <c r="O7" s="2"/>
      <c r="P7" s="2"/>
      <c r="Q7" s="2"/>
      <c r="R7" s="12"/>
      <c r="S7" s="13"/>
      <c r="T7" s="9"/>
      <c r="U7" s="10"/>
      <c r="V7" s="11"/>
      <c r="W7" s="12"/>
      <c r="X7" s="12"/>
      <c r="Y7" s="12"/>
      <c r="Z7" s="12"/>
      <c r="AA7" s="12"/>
      <c r="AB7" s="12"/>
      <c r="AC7" s="12"/>
      <c r="AD7" s="12"/>
      <c r="AE7" s="103"/>
      <c r="AF7" s="102"/>
      <c r="AG7" s="12"/>
      <c r="AH7" s="12"/>
      <c r="AI7" s="2"/>
      <c r="AJ7" s="12"/>
      <c r="AK7" s="12"/>
      <c r="AL7" s="12"/>
      <c r="AM7" s="12"/>
      <c r="AN7" s="12"/>
      <c r="AO7" s="13"/>
      <c r="AP7" s="11"/>
      <c r="AQ7" s="12"/>
      <c r="AR7" s="4"/>
      <c r="AS7" s="14"/>
      <c r="AT7" s="2"/>
      <c r="AU7" s="95"/>
      <c r="AV7" s="2"/>
      <c r="AW7" s="95"/>
      <c r="AX7" s="104"/>
      <c r="AY7" s="18"/>
      <c r="AZ7" s="18" t="str">
        <f t="shared" si="0"/>
        <v/>
      </c>
      <c r="BA7" s="18" t="str">
        <f t="shared" si="1"/>
        <v/>
      </c>
      <c r="BB7" s="18" t="str">
        <f t="shared" si="2"/>
        <v/>
      </c>
      <c r="BC7" s="18"/>
      <c r="BD7" s="18"/>
      <c r="BE7" s="18"/>
      <c r="BF7" s="18" t="str">
        <f t="shared" si="3"/>
        <v/>
      </c>
      <c r="BG7" s="18" t="str">
        <f t="shared" si="4"/>
        <v/>
      </c>
      <c r="BH7" s="18" t="str">
        <f t="shared" si="5"/>
        <v/>
      </c>
      <c r="BI7" s="18" t="str">
        <f t="shared" si="6"/>
        <v/>
      </c>
      <c r="BJ7" s="18" t="str">
        <f t="shared" si="7"/>
        <v/>
      </c>
      <c r="BK7" s="18" t="str">
        <f t="shared" si="8"/>
        <v/>
      </c>
    </row>
    <row r="8" spans="1:63" ht="8.25" customHeight="1">
      <c r="A8" s="1"/>
      <c r="B8" s="2"/>
      <c r="C8" s="3"/>
      <c r="D8" s="11"/>
      <c r="E8" s="4"/>
      <c r="F8" s="161"/>
      <c r="G8" s="2"/>
      <c r="H8" s="162"/>
      <c r="I8" s="12"/>
      <c r="J8" s="2"/>
      <c r="K8" s="12"/>
      <c r="L8" s="2"/>
      <c r="M8" s="95"/>
      <c r="N8" s="126"/>
      <c r="O8" s="2"/>
      <c r="P8" s="2"/>
      <c r="Q8" s="2"/>
      <c r="R8" s="12"/>
      <c r="S8" s="13"/>
      <c r="T8" s="10"/>
      <c r="U8" s="10"/>
      <c r="V8" s="11"/>
      <c r="W8" s="12"/>
      <c r="X8" s="12"/>
      <c r="Y8" s="12"/>
      <c r="Z8" s="12"/>
      <c r="AA8" s="12"/>
      <c r="AB8" s="12"/>
      <c r="AC8" s="12"/>
      <c r="AD8" s="12"/>
      <c r="AE8" s="103"/>
      <c r="AF8" s="102"/>
      <c r="AG8" s="12"/>
      <c r="AH8" s="12"/>
      <c r="AI8" s="2"/>
      <c r="AJ8" s="12"/>
      <c r="AK8" s="12"/>
      <c r="AL8" s="12"/>
      <c r="AM8" s="12"/>
      <c r="AN8" s="12"/>
      <c r="AO8" s="13"/>
      <c r="AP8" s="11"/>
      <c r="AQ8" s="12"/>
      <c r="AR8" s="4"/>
      <c r="AS8" s="102"/>
      <c r="AT8" s="16"/>
      <c r="AU8" s="2"/>
      <c r="AV8" s="2"/>
      <c r="AW8" s="2"/>
      <c r="AX8" s="29"/>
      <c r="AY8" s="18"/>
      <c r="AZ8" s="18" t="str">
        <f t="shared" si="0"/>
        <v/>
      </c>
      <c r="BA8" s="18" t="str">
        <f t="shared" si="1"/>
        <v/>
      </c>
      <c r="BB8" s="18" t="str">
        <f t="shared" si="2"/>
        <v/>
      </c>
      <c r="BC8" s="18"/>
      <c r="BD8" s="18"/>
      <c r="BE8" s="18"/>
      <c r="BF8" s="18" t="str">
        <f t="shared" si="3"/>
        <v/>
      </c>
      <c r="BG8" s="18" t="str">
        <f t="shared" si="4"/>
        <v/>
      </c>
      <c r="BH8" s="18" t="str">
        <f t="shared" si="5"/>
        <v/>
      </c>
      <c r="BI8" s="18" t="str">
        <f t="shared" si="6"/>
        <v/>
      </c>
      <c r="BJ8" s="18" t="str">
        <f t="shared" si="7"/>
        <v/>
      </c>
      <c r="BK8" s="18" t="str">
        <f t="shared" si="8"/>
        <v/>
      </c>
    </row>
    <row r="9" spans="1:63" ht="8.25" customHeight="1">
      <c r="A9" s="1"/>
      <c r="B9" s="2"/>
      <c r="C9" s="3"/>
      <c r="D9" s="11"/>
      <c r="E9" s="4"/>
      <c r="F9" s="161"/>
      <c r="G9" s="2"/>
      <c r="H9" s="162"/>
      <c r="I9" s="12"/>
      <c r="J9" s="2"/>
      <c r="K9" s="12"/>
      <c r="L9" s="2"/>
      <c r="M9" s="95"/>
      <c r="N9" s="126"/>
      <c r="O9" s="2"/>
      <c r="P9" s="2"/>
      <c r="Q9" s="2"/>
      <c r="R9" s="12"/>
      <c r="S9" s="13"/>
      <c r="T9" s="10"/>
      <c r="U9" s="10"/>
      <c r="V9" s="11"/>
      <c r="W9" s="12"/>
      <c r="X9" s="12"/>
      <c r="Y9" s="12"/>
      <c r="Z9" s="12"/>
      <c r="AA9" s="12"/>
      <c r="AB9" s="12"/>
      <c r="AC9" s="12"/>
      <c r="AD9" s="12"/>
      <c r="AE9" s="103"/>
      <c r="AF9" s="102"/>
      <c r="AG9" s="12"/>
      <c r="AH9" s="12"/>
      <c r="AI9" s="2"/>
      <c r="AJ9" s="12"/>
      <c r="AK9" s="12"/>
      <c r="AL9" s="12"/>
      <c r="AM9" s="12"/>
      <c r="AN9" s="12"/>
      <c r="AO9" s="13"/>
      <c r="AP9" s="11"/>
      <c r="AQ9" s="12"/>
      <c r="AR9" s="4"/>
      <c r="AS9" s="102"/>
      <c r="AT9" s="16"/>
      <c r="AU9" s="2"/>
      <c r="AV9" s="2"/>
      <c r="AW9" s="2"/>
      <c r="AX9" s="29"/>
      <c r="AY9" s="18"/>
      <c r="AZ9" s="18" t="str">
        <f t="shared" si="0"/>
        <v/>
      </c>
      <c r="BA9" s="18" t="str">
        <f t="shared" si="1"/>
        <v/>
      </c>
      <c r="BB9" s="18" t="str">
        <f t="shared" si="2"/>
        <v/>
      </c>
      <c r="BC9" s="18"/>
      <c r="BD9" s="18"/>
      <c r="BE9" s="18"/>
      <c r="BF9" s="18" t="str">
        <f t="shared" si="3"/>
        <v/>
      </c>
      <c r="BG9" s="18" t="str">
        <f t="shared" si="4"/>
        <v/>
      </c>
      <c r="BH9" s="18" t="str">
        <f t="shared" si="5"/>
        <v/>
      </c>
      <c r="BI9" s="18" t="str">
        <f t="shared" si="6"/>
        <v/>
      </c>
      <c r="BJ9" s="18" t="str">
        <f t="shared" si="7"/>
        <v/>
      </c>
      <c r="BK9" s="18" t="str">
        <f t="shared" si="8"/>
        <v/>
      </c>
    </row>
    <row r="10" spans="1:63" ht="8.25" customHeight="1">
      <c r="A10" s="1"/>
      <c r="B10" s="2"/>
      <c r="C10" s="3"/>
      <c r="D10" s="11"/>
      <c r="E10" s="4"/>
      <c r="F10" s="102"/>
      <c r="G10" s="2"/>
      <c r="H10" s="12"/>
      <c r="I10" s="12"/>
      <c r="J10" s="2"/>
      <c r="K10" s="12"/>
      <c r="L10" s="2"/>
      <c r="M10" s="95"/>
      <c r="N10" s="126"/>
      <c r="O10" s="2"/>
      <c r="P10" s="2"/>
      <c r="Q10" s="2"/>
      <c r="R10" s="12"/>
      <c r="S10" s="13"/>
      <c r="T10" s="10"/>
      <c r="U10" s="10"/>
      <c r="V10" s="11"/>
      <c r="W10" s="12"/>
      <c r="X10" s="12"/>
      <c r="Y10" s="12"/>
      <c r="Z10" s="12"/>
      <c r="AA10" s="12"/>
      <c r="AB10" s="12"/>
      <c r="AC10" s="12"/>
      <c r="AD10" s="12"/>
      <c r="AE10" s="103"/>
      <c r="AF10" s="102"/>
      <c r="AG10" s="12"/>
      <c r="AH10" s="12"/>
      <c r="AI10" s="2"/>
      <c r="AJ10" s="12"/>
      <c r="AK10" s="12"/>
      <c r="AL10" s="12"/>
      <c r="AM10" s="12"/>
      <c r="AN10" s="12"/>
      <c r="AO10" s="13"/>
      <c r="AP10" s="11"/>
      <c r="AQ10" s="12"/>
      <c r="AR10" s="4"/>
      <c r="AS10" s="102"/>
      <c r="AT10" s="16"/>
      <c r="AU10" s="2"/>
      <c r="AV10" s="2"/>
      <c r="AW10" s="2"/>
      <c r="AX10" s="29"/>
      <c r="AY10" s="18"/>
      <c r="AZ10" s="18" t="str">
        <f t="shared" si="0"/>
        <v/>
      </c>
      <c r="BA10" s="18" t="str">
        <f t="shared" si="1"/>
        <v/>
      </c>
      <c r="BB10" s="18" t="str">
        <f t="shared" si="2"/>
        <v/>
      </c>
      <c r="BC10" s="18"/>
      <c r="BD10" s="18"/>
      <c r="BE10" s="18"/>
      <c r="BF10" s="18" t="str">
        <f t="shared" si="3"/>
        <v/>
      </c>
      <c r="BG10" s="18" t="str">
        <f t="shared" si="4"/>
        <v/>
      </c>
      <c r="BH10" s="18" t="str">
        <f t="shared" si="5"/>
        <v/>
      </c>
      <c r="BI10" s="18" t="str">
        <f t="shared" si="6"/>
        <v/>
      </c>
      <c r="BJ10" s="18" t="str">
        <f t="shared" si="7"/>
        <v/>
      </c>
      <c r="BK10" s="18" t="str">
        <f t="shared" si="8"/>
        <v/>
      </c>
    </row>
    <row r="11" spans="1:63" ht="8.25" customHeight="1">
      <c r="A11" s="1"/>
      <c r="B11" s="2"/>
      <c r="C11" s="3"/>
      <c r="D11" s="101"/>
      <c r="E11" s="4"/>
      <c r="F11" s="161"/>
      <c r="G11" s="2"/>
      <c r="H11" s="162"/>
      <c r="I11" s="12"/>
      <c r="J11" s="2"/>
      <c r="K11" s="12"/>
      <c r="L11" s="2"/>
      <c r="M11" s="95"/>
      <c r="N11" s="94"/>
      <c r="O11" s="2"/>
      <c r="P11" s="2"/>
      <c r="Q11" s="2"/>
      <c r="R11" s="12"/>
      <c r="S11" s="13"/>
      <c r="T11" s="9"/>
      <c r="U11" s="10"/>
      <c r="V11" s="11"/>
      <c r="W11" s="12"/>
      <c r="X11" s="12"/>
      <c r="Y11" s="12"/>
      <c r="Z11" s="12"/>
      <c r="AA11" s="12"/>
      <c r="AB11" s="12"/>
      <c r="AC11" s="12"/>
      <c r="AD11" s="12"/>
      <c r="AE11" s="103"/>
      <c r="AF11" s="102"/>
      <c r="AG11" s="12"/>
      <c r="AH11" s="12"/>
      <c r="AI11" s="2"/>
      <c r="AJ11" s="12"/>
      <c r="AK11" s="12"/>
      <c r="AL11" s="12"/>
      <c r="AM11" s="12"/>
      <c r="AN11" s="12"/>
      <c r="AO11" s="13"/>
      <c r="AP11" s="11"/>
      <c r="AQ11" s="12"/>
      <c r="AR11" s="4"/>
      <c r="AS11" s="14"/>
      <c r="AT11" s="2"/>
      <c r="AU11" s="95"/>
      <c r="AV11" s="2"/>
      <c r="AW11" s="95"/>
      <c r="AX11" s="104"/>
      <c r="AY11" s="18"/>
      <c r="AZ11" s="18" t="str">
        <f t="shared" si="0"/>
        <v/>
      </c>
      <c r="BA11" s="18" t="str">
        <f t="shared" si="1"/>
        <v/>
      </c>
      <c r="BB11" s="18" t="str">
        <f t="shared" si="2"/>
        <v/>
      </c>
      <c r="BC11" s="18"/>
      <c r="BD11" s="18"/>
      <c r="BE11" s="18"/>
      <c r="BF11" s="18" t="str">
        <f t="shared" si="3"/>
        <v/>
      </c>
      <c r="BG11" s="18" t="str">
        <f t="shared" si="4"/>
        <v/>
      </c>
      <c r="BH11" s="18" t="str">
        <f t="shared" si="5"/>
        <v/>
      </c>
      <c r="BI11" s="18" t="str">
        <f t="shared" si="6"/>
        <v/>
      </c>
      <c r="BJ11" s="18" t="str">
        <f t="shared" si="7"/>
        <v/>
      </c>
      <c r="BK11" s="18" t="str">
        <f t="shared" si="8"/>
        <v/>
      </c>
    </row>
    <row r="12" spans="1:63" ht="8.25" customHeight="1">
      <c r="A12" s="1"/>
      <c r="B12" s="2"/>
      <c r="C12" s="3"/>
      <c r="D12" s="101"/>
      <c r="E12" s="4"/>
      <c r="F12" s="161"/>
      <c r="G12" s="2"/>
      <c r="H12" s="162"/>
      <c r="I12" s="12"/>
      <c r="J12" s="2"/>
      <c r="K12" s="12"/>
      <c r="L12" s="2"/>
      <c r="M12" s="95"/>
      <c r="N12" s="94"/>
      <c r="O12" s="2"/>
      <c r="P12" s="2"/>
      <c r="Q12" s="2"/>
      <c r="R12" s="12"/>
      <c r="S12" s="13"/>
      <c r="T12" s="9"/>
      <c r="U12" s="10"/>
      <c r="V12" s="11"/>
      <c r="W12" s="12"/>
      <c r="X12" s="12"/>
      <c r="Y12" s="12"/>
      <c r="Z12" s="12"/>
      <c r="AA12" s="12"/>
      <c r="AB12" s="12"/>
      <c r="AC12" s="12"/>
      <c r="AD12" s="12"/>
      <c r="AE12" s="103"/>
      <c r="AF12" s="102"/>
      <c r="AG12" s="12"/>
      <c r="AH12" s="12"/>
      <c r="AI12" s="2"/>
      <c r="AJ12" s="12"/>
      <c r="AK12" s="12"/>
      <c r="AL12" s="12"/>
      <c r="AM12" s="12"/>
      <c r="AN12" s="12"/>
      <c r="AO12" s="13"/>
      <c r="AP12" s="11"/>
      <c r="AQ12" s="12"/>
      <c r="AR12" s="4"/>
      <c r="AS12" s="14"/>
      <c r="AT12" s="2"/>
      <c r="AU12" s="95"/>
      <c r="AV12" s="2"/>
      <c r="AW12" s="95"/>
      <c r="AX12" s="104"/>
      <c r="AY12" s="18"/>
      <c r="AZ12" s="18" t="str">
        <f t="shared" si="0"/>
        <v/>
      </c>
      <c r="BA12" s="18" t="str">
        <f t="shared" si="1"/>
        <v/>
      </c>
      <c r="BB12" s="18" t="str">
        <f t="shared" si="2"/>
        <v/>
      </c>
      <c r="BC12" s="18"/>
      <c r="BD12" s="18"/>
      <c r="BE12" s="18"/>
      <c r="BF12" s="18" t="str">
        <f t="shared" si="3"/>
        <v/>
      </c>
      <c r="BG12" s="18" t="str">
        <f t="shared" si="4"/>
        <v/>
      </c>
      <c r="BH12" s="18" t="str">
        <f t="shared" si="5"/>
        <v/>
      </c>
      <c r="BI12" s="18" t="str">
        <f t="shared" si="6"/>
        <v/>
      </c>
      <c r="BJ12" s="18" t="str">
        <f t="shared" si="7"/>
        <v/>
      </c>
      <c r="BK12" s="18" t="str">
        <f t="shared" si="8"/>
        <v/>
      </c>
    </row>
    <row r="13" spans="1:63" ht="8.25" customHeight="1">
      <c r="A13" s="1"/>
      <c r="B13" s="2"/>
      <c r="C13" s="3"/>
      <c r="D13" s="101"/>
      <c r="E13" s="4"/>
      <c r="F13" s="161"/>
      <c r="G13" s="2"/>
      <c r="H13" s="162"/>
      <c r="I13" s="12"/>
      <c r="J13" s="2"/>
      <c r="K13" s="12"/>
      <c r="L13" s="2"/>
      <c r="M13" s="95"/>
      <c r="N13" s="94"/>
      <c r="O13" s="2"/>
      <c r="P13" s="2"/>
      <c r="Q13" s="2"/>
      <c r="R13" s="12"/>
      <c r="S13" s="13"/>
      <c r="T13" s="9"/>
      <c r="U13" s="10"/>
      <c r="V13" s="11"/>
      <c r="W13" s="12"/>
      <c r="X13" s="12"/>
      <c r="Y13" s="12"/>
      <c r="Z13" s="12"/>
      <c r="AA13" s="12"/>
      <c r="AB13" s="12"/>
      <c r="AC13" s="12"/>
      <c r="AD13" s="12"/>
      <c r="AE13" s="103"/>
      <c r="AF13" s="102"/>
      <c r="AG13" s="12"/>
      <c r="AH13" s="12"/>
      <c r="AI13" s="2"/>
      <c r="AJ13" s="12"/>
      <c r="AK13" s="12"/>
      <c r="AL13" s="12"/>
      <c r="AM13" s="12"/>
      <c r="AN13" s="12"/>
      <c r="AO13" s="13"/>
      <c r="AP13" s="11"/>
      <c r="AQ13" s="12"/>
      <c r="AR13" s="4"/>
      <c r="AS13" s="14"/>
      <c r="AT13" s="2"/>
      <c r="AU13" s="95"/>
      <c r="AV13" s="2"/>
      <c r="AW13" s="95"/>
      <c r="AX13" s="104"/>
      <c r="AY13" s="18"/>
      <c r="AZ13" s="18" t="str">
        <f t="shared" si="0"/>
        <v/>
      </c>
      <c r="BA13" s="18" t="str">
        <f t="shared" si="1"/>
        <v/>
      </c>
      <c r="BB13" s="18" t="str">
        <f t="shared" si="2"/>
        <v/>
      </c>
      <c r="BC13" s="18"/>
      <c r="BD13" s="18"/>
      <c r="BE13" s="18"/>
      <c r="BF13" s="18" t="str">
        <f t="shared" si="3"/>
        <v/>
      </c>
      <c r="BG13" s="18" t="str">
        <f t="shared" si="4"/>
        <v/>
      </c>
      <c r="BH13" s="18" t="str">
        <f t="shared" si="5"/>
        <v/>
      </c>
      <c r="BI13" s="18" t="str">
        <f t="shared" si="6"/>
        <v/>
      </c>
      <c r="BJ13" s="18" t="str">
        <f t="shared" si="7"/>
        <v/>
      </c>
      <c r="BK13" s="18" t="str">
        <f t="shared" si="8"/>
        <v/>
      </c>
    </row>
    <row r="14" spans="1:63" ht="8.25" customHeight="1">
      <c r="A14" s="1"/>
      <c r="B14" s="2"/>
      <c r="C14" s="3"/>
      <c r="D14" s="101"/>
      <c r="E14" s="4"/>
      <c r="F14" s="161"/>
      <c r="G14" s="2"/>
      <c r="H14" s="162"/>
      <c r="I14" s="12"/>
      <c r="J14" s="2"/>
      <c r="K14" s="12"/>
      <c r="L14" s="2"/>
      <c r="M14" s="95"/>
      <c r="N14" s="94"/>
      <c r="O14" s="2"/>
      <c r="P14" s="2"/>
      <c r="Q14" s="2"/>
      <c r="R14" s="12"/>
      <c r="S14" s="13"/>
      <c r="T14" s="9"/>
      <c r="U14" s="10"/>
      <c r="V14" s="11"/>
      <c r="W14" s="12"/>
      <c r="X14" s="12"/>
      <c r="Y14" s="12"/>
      <c r="Z14" s="12"/>
      <c r="AA14" s="12"/>
      <c r="AB14" s="12"/>
      <c r="AC14" s="12"/>
      <c r="AD14" s="12"/>
      <c r="AE14" s="103"/>
      <c r="AF14" s="102"/>
      <c r="AG14" s="12"/>
      <c r="AH14" s="12"/>
      <c r="AI14" s="2"/>
      <c r="AJ14" s="12"/>
      <c r="AK14" s="12"/>
      <c r="AL14" s="12"/>
      <c r="AM14" s="12"/>
      <c r="AN14" s="12"/>
      <c r="AO14" s="13"/>
      <c r="AP14" s="11"/>
      <c r="AQ14" s="12"/>
      <c r="AR14" s="4"/>
      <c r="AS14" s="14"/>
      <c r="AT14" s="2"/>
      <c r="AU14" s="95"/>
      <c r="AV14" s="2"/>
      <c r="AW14" s="95"/>
      <c r="AX14" s="104"/>
      <c r="AY14" s="18"/>
      <c r="AZ14" s="18" t="str">
        <f t="shared" si="0"/>
        <v/>
      </c>
      <c r="BA14" s="18" t="str">
        <f t="shared" si="1"/>
        <v/>
      </c>
      <c r="BB14" s="18" t="str">
        <f t="shared" si="2"/>
        <v/>
      </c>
      <c r="BC14" s="18"/>
      <c r="BD14" s="18"/>
      <c r="BE14" s="18"/>
      <c r="BF14" s="18" t="str">
        <f t="shared" si="3"/>
        <v/>
      </c>
      <c r="BG14" s="18" t="str">
        <f t="shared" si="4"/>
        <v/>
      </c>
      <c r="BH14" s="18" t="str">
        <f t="shared" si="5"/>
        <v/>
      </c>
      <c r="BI14" s="18" t="str">
        <f t="shared" si="6"/>
        <v/>
      </c>
      <c r="BJ14" s="18" t="str">
        <f t="shared" si="7"/>
        <v/>
      </c>
      <c r="BK14" s="18" t="str">
        <f t="shared" si="8"/>
        <v/>
      </c>
    </row>
    <row r="15" spans="1:63" ht="8.25" customHeight="1">
      <c r="A15" s="1"/>
      <c r="B15" s="2"/>
      <c r="C15" s="3"/>
      <c r="D15" s="101"/>
      <c r="E15" s="4"/>
      <c r="F15" s="161"/>
      <c r="G15" s="2"/>
      <c r="H15" s="162"/>
      <c r="I15" s="12"/>
      <c r="J15" s="2"/>
      <c r="K15" s="12"/>
      <c r="L15" s="2"/>
      <c r="M15" s="95"/>
      <c r="N15" s="94"/>
      <c r="O15" s="2"/>
      <c r="P15" s="2"/>
      <c r="Q15" s="2"/>
      <c r="R15" s="12"/>
      <c r="S15" s="13"/>
      <c r="T15" s="9"/>
      <c r="U15" s="10"/>
      <c r="V15" s="11"/>
      <c r="W15" s="12"/>
      <c r="X15" s="12"/>
      <c r="Y15" s="12"/>
      <c r="Z15" s="12"/>
      <c r="AA15" s="12"/>
      <c r="AB15" s="12"/>
      <c r="AC15" s="12"/>
      <c r="AD15" s="12"/>
      <c r="AE15" s="103"/>
      <c r="AF15" s="102"/>
      <c r="AG15" s="12"/>
      <c r="AH15" s="12"/>
      <c r="AI15" s="2"/>
      <c r="AJ15" s="12"/>
      <c r="AK15" s="12"/>
      <c r="AL15" s="12"/>
      <c r="AM15" s="12"/>
      <c r="AN15" s="12"/>
      <c r="AO15" s="13"/>
      <c r="AP15" s="11"/>
      <c r="AQ15" s="12"/>
      <c r="AR15" s="4"/>
      <c r="AS15" s="14"/>
      <c r="AT15" s="2"/>
      <c r="AU15" s="95"/>
      <c r="AV15" s="2"/>
      <c r="AW15" s="95"/>
      <c r="AX15" s="104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</row>
    <row r="16" spans="1:63" ht="8.25" customHeight="1">
      <c r="A16" s="1"/>
      <c r="B16" s="2"/>
      <c r="C16" s="3"/>
      <c r="D16" s="101"/>
      <c r="E16" s="4"/>
      <c r="F16" s="161"/>
      <c r="G16" s="2"/>
      <c r="H16" s="162"/>
      <c r="I16" s="12"/>
      <c r="J16" s="2"/>
      <c r="K16" s="12"/>
      <c r="L16" s="2"/>
      <c r="M16" s="95"/>
      <c r="N16" s="94"/>
      <c r="O16" s="2"/>
      <c r="P16" s="2"/>
      <c r="Q16" s="2"/>
      <c r="R16" s="12"/>
      <c r="S16" s="13"/>
      <c r="T16" s="9"/>
      <c r="U16" s="10"/>
      <c r="V16" s="11"/>
      <c r="W16" s="12"/>
      <c r="X16" s="12"/>
      <c r="Y16" s="12"/>
      <c r="Z16" s="12"/>
      <c r="AA16" s="12"/>
      <c r="AB16" s="12"/>
      <c r="AC16" s="12"/>
      <c r="AD16" s="12"/>
      <c r="AE16" s="103"/>
      <c r="AF16" s="102"/>
      <c r="AG16" s="12"/>
      <c r="AH16" s="12"/>
      <c r="AI16" s="2"/>
      <c r="AJ16" s="12"/>
      <c r="AK16" s="12"/>
      <c r="AL16" s="12"/>
      <c r="AM16" s="12"/>
      <c r="AN16" s="12"/>
      <c r="AO16" s="13"/>
      <c r="AP16" s="11"/>
      <c r="AQ16" s="12"/>
      <c r="AR16" s="4"/>
      <c r="AS16" s="14"/>
      <c r="AT16" s="2"/>
      <c r="AU16" s="95"/>
      <c r="AV16" s="2"/>
      <c r="AW16" s="95"/>
      <c r="AX16" s="104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</row>
    <row r="17" spans="1:63" ht="8.25" customHeight="1">
      <c r="A17" s="1"/>
      <c r="B17" s="2"/>
      <c r="C17" s="3"/>
      <c r="D17" s="101"/>
      <c r="E17" s="4"/>
      <c r="F17" s="161"/>
      <c r="G17" s="2"/>
      <c r="H17" s="162"/>
      <c r="I17" s="12"/>
      <c r="J17" s="2"/>
      <c r="K17" s="12"/>
      <c r="L17" s="2"/>
      <c r="M17" s="95"/>
      <c r="N17" s="94"/>
      <c r="O17" s="2"/>
      <c r="P17" s="2"/>
      <c r="Q17" s="2"/>
      <c r="R17" s="12"/>
      <c r="S17" s="13"/>
      <c r="T17" s="9"/>
      <c r="U17" s="10"/>
      <c r="V17" s="11"/>
      <c r="W17" s="12"/>
      <c r="X17" s="12"/>
      <c r="Y17" s="12"/>
      <c r="Z17" s="12"/>
      <c r="AA17" s="12"/>
      <c r="AB17" s="12"/>
      <c r="AC17" s="12"/>
      <c r="AD17" s="12"/>
      <c r="AE17" s="103"/>
      <c r="AF17" s="102"/>
      <c r="AG17" s="12"/>
      <c r="AH17" s="12"/>
      <c r="AI17" s="2"/>
      <c r="AJ17" s="12"/>
      <c r="AK17" s="12"/>
      <c r="AL17" s="12"/>
      <c r="AM17" s="12"/>
      <c r="AN17" s="12"/>
      <c r="AO17" s="13"/>
      <c r="AP17" s="11"/>
      <c r="AQ17" s="12"/>
      <c r="AR17" s="4"/>
      <c r="AS17" s="14"/>
      <c r="AT17" s="2"/>
      <c r="AU17" s="95"/>
      <c r="AV17" s="2"/>
      <c r="AW17" s="95"/>
      <c r="AX17" s="104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</row>
    <row r="18" spans="1:63" ht="8.25" customHeight="1">
      <c r="A18" s="1"/>
      <c r="B18" s="2"/>
      <c r="C18" s="3"/>
      <c r="D18" s="101"/>
      <c r="E18" s="4"/>
      <c r="F18" s="161"/>
      <c r="G18" s="2"/>
      <c r="H18" s="162"/>
      <c r="I18" s="12"/>
      <c r="J18" s="2"/>
      <c r="K18" s="12"/>
      <c r="L18" s="2"/>
      <c r="M18" s="95"/>
      <c r="N18" s="94"/>
      <c r="O18" s="2"/>
      <c r="P18" s="2"/>
      <c r="Q18" s="2"/>
      <c r="R18" s="12"/>
      <c r="S18" s="13"/>
      <c r="T18" s="9"/>
      <c r="U18" s="10"/>
      <c r="V18" s="11"/>
      <c r="W18" s="12"/>
      <c r="X18" s="12"/>
      <c r="Y18" s="12"/>
      <c r="Z18" s="12"/>
      <c r="AA18" s="12"/>
      <c r="AB18" s="12"/>
      <c r="AC18" s="12"/>
      <c r="AD18" s="12"/>
      <c r="AE18" s="103"/>
      <c r="AF18" s="102"/>
      <c r="AG18" s="12"/>
      <c r="AH18" s="12"/>
      <c r="AI18" s="2"/>
      <c r="AJ18" s="12"/>
      <c r="AK18" s="12"/>
      <c r="AL18" s="12"/>
      <c r="AM18" s="12"/>
      <c r="AN18" s="12"/>
      <c r="AO18" s="13"/>
      <c r="AP18" s="11"/>
      <c r="AQ18" s="12"/>
      <c r="AR18" s="4"/>
      <c r="AS18" s="14"/>
      <c r="AT18" s="2"/>
      <c r="AU18" s="95"/>
      <c r="AV18" s="2"/>
      <c r="AW18" s="95"/>
      <c r="AX18" s="104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</row>
    <row r="19" spans="1:63" ht="8.25" customHeight="1">
      <c r="A19" s="1"/>
      <c r="B19" s="2"/>
      <c r="C19" s="3"/>
      <c r="D19" s="101"/>
      <c r="E19" s="4"/>
      <c r="F19" s="161"/>
      <c r="G19" s="2"/>
      <c r="H19" s="162"/>
      <c r="I19" s="12"/>
      <c r="J19" s="2"/>
      <c r="K19" s="12"/>
      <c r="L19" s="2"/>
      <c r="M19" s="95"/>
      <c r="N19" s="94"/>
      <c r="O19" s="2"/>
      <c r="P19" s="2"/>
      <c r="Q19" s="2"/>
      <c r="R19" s="12"/>
      <c r="S19" s="13"/>
      <c r="T19" s="9"/>
      <c r="U19" s="10"/>
      <c r="V19" s="11"/>
      <c r="W19" s="12"/>
      <c r="X19" s="12"/>
      <c r="Y19" s="12"/>
      <c r="Z19" s="12"/>
      <c r="AA19" s="12"/>
      <c r="AB19" s="12"/>
      <c r="AC19" s="12"/>
      <c r="AD19" s="12"/>
      <c r="AE19" s="103"/>
      <c r="AF19" s="102"/>
      <c r="AG19" s="12"/>
      <c r="AH19" s="12"/>
      <c r="AI19" s="2"/>
      <c r="AJ19" s="12"/>
      <c r="AK19" s="12"/>
      <c r="AL19" s="12"/>
      <c r="AM19" s="12"/>
      <c r="AN19" s="12"/>
      <c r="AO19" s="13"/>
      <c r="AP19" s="11"/>
      <c r="AQ19" s="12"/>
      <c r="AR19" s="4"/>
      <c r="AS19" s="14"/>
      <c r="AT19" s="2"/>
      <c r="AU19" s="95"/>
      <c r="AV19" s="2"/>
      <c r="AW19" s="95"/>
      <c r="AX19" s="104"/>
      <c r="AY19" s="18"/>
      <c r="AZ19" s="18" t="str">
        <f t="shared" si="0"/>
        <v/>
      </c>
      <c r="BA19" s="18" t="str">
        <f t="shared" si="1"/>
        <v/>
      </c>
      <c r="BB19" s="18" t="str">
        <f t="shared" si="2"/>
        <v/>
      </c>
      <c r="BC19" s="18"/>
      <c r="BD19" s="18"/>
      <c r="BE19" s="18"/>
      <c r="BF19" s="18" t="str">
        <f t="shared" si="3"/>
        <v/>
      </c>
      <c r="BG19" s="18" t="str">
        <f t="shared" si="4"/>
        <v/>
      </c>
      <c r="BH19" s="18" t="str">
        <f t="shared" si="5"/>
        <v/>
      </c>
      <c r="BI19" s="18" t="str">
        <f t="shared" si="6"/>
        <v/>
      </c>
      <c r="BJ19" s="18" t="str">
        <f t="shared" si="7"/>
        <v/>
      </c>
      <c r="BK19" s="18" t="str">
        <f t="shared" si="8"/>
        <v/>
      </c>
    </row>
    <row r="20" spans="1:63" ht="8.25" customHeight="1">
      <c r="A20" s="1"/>
      <c r="B20" s="2"/>
      <c r="C20" s="3"/>
      <c r="D20" s="101"/>
      <c r="E20" s="4"/>
      <c r="F20" s="161"/>
      <c r="G20" s="2"/>
      <c r="H20" s="162"/>
      <c r="I20" s="12"/>
      <c r="J20" s="2"/>
      <c r="K20" s="12"/>
      <c r="L20" s="2"/>
      <c r="M20" s="95"/>
      <c r="N20" s="94"/>
      <c r="O20" s="2"/>
      <c r="P20" s="2"/>
      <c r="Q20" s="2"/>
      <c r="R20" s="12"/>
      <c r="S20" s="13"/>
      <c r="T20" s="9"/>
      <c r="U20" s="10"/>
      <c r="V20" s="11"/>
      <c r="W20" s="12"/>
      <c r="X20" s="12"/>
      <c r="Y20" s="12"/>
      <c r="Z20" s="12"/>
      <c r="AA20" s="12"/>
      <c r="AB20" s="12"/>
      <c r="AC20" s="12"/>
      <c r="AD20" s="12"/>
      <c r="AE20" s="103"/>
      <c r="AF20" s="102"/>
      <c r="AG20" s="12"/>
      <c r="AH20" s="12"/>
      <c r="AI20" s="2"/>
      <c r="AJ20" s="12"/>
      <c r="AK20" s="12"/>
      <c r="AL20" s="12"/>
      <c r="AM20" s="12"/>
      <c r="AN20" s="12"/>
      <c r="AO20" s="13"/>
      <c r="AP20" s="11"/>
      <c r="AQ20" s="12"/>
      <c r="AR20" s="4"/>
      <c r="AS20" s="14"/>
      <c r="AT20" s="2"/>
      <c r="AU20" s="95"/>
      <c r="AV20" s="2"/>
      <c r="AW20" s="95"/>
      <c r="AX20" s="104"/>
      <c r="AY20" s="18"/>
      <c r="AZ20" s="18" t="str">
        <f t="shared" si="0"/>
        <v/>
      </c>
      <c r="BA20" s="18" t="str">
        <f t="shared" si="1"/>
        <v/>
      </c>
      <c r="BB20" s="18" t="str">
        <f t="shared" si="2"/>
        <v/>
      </c>
      <c r="BC20" s="18"/>
      <c r="BD20" s="18"/>
      <c r="BE20" s="18"/>
      <c r="BF20" s="18" t="str">
        <f t="shared" si="3"/>
        <v/>
      </c>
      <c r="BG20" s="18" t="str">
        <f t="shared" si="4"/>
        <v/>
      </c>
      <c r="BH20" s="18" t="str">
        <f t="shared" si="5"/>
        <v/>
      </c>
      <c r="BI20" s="18" t="str">
        <f t="shared" si="6"/>
        <v/>
      </c>
      <c r="BJ20" s="18" t="str">
        <f t="shared" si="7"/>
        <v/>
      </c>
      <c r="BK20" s="18" t="str">
        <f t="shared" si="8"/>
        <v/>
      </c>
    </row>
    <row r="21" spans="1:63" ht="8.25" customHeight="1">
      <c r="A21" s="1"/>
      <c r="B21" s="2"/>
      <c r="C21" s="3"/>
      <c r="D21" s="101"/>
      <c r="E21" s="4"/>
      <c r="F21" s="161"/>
      <c r="G21" s="2"/>
      <c r="H21" s="162"/>
      <c r="I21" s="12"/>
      <c r="J21" s="2"/>
      <c r="K21" s="12"/>
      <c r="L21" s="2"/>
      <c r="M21" s="95"/>
      <c r="N21" s="94"/>
      <c r="O21" s="2"/>
      <c r="P21" s="2"/>
      <c r="Q21" s="2"/>
      <c r="R21" s="12"/>
      <c r="S21" s="13"/>
      <c r="T21" s="9"/>
      <c r="U21" s="10"/>
      <c r="V21" s="11"/>
      <c r="W21" s="12"/>
      <c r="X21" s="12"/>
      <c r="Y21" s="12"/>
      <c r="Z21" s="12"/>
      <c r="AA21" s="12"/>
      <c r="AB21" s="12"/>
      <c r="AC21" s="12"/>
      <c r="AD21" s="12"/>
      <c r="AE21" s="103"/>
      <c r="AF21" s="102"/>
      <c r="AG21" s="12"/>
      <c r="AH21" s="12"/>
      <c r="AI21" s="2"/>
      <c r="AJ21" s="12"/>
      <c r="AK21" s="12"/>
      <c r="AL21" s="12"/>
      <c r="AM21" s="12"/>
      <c r="AN21" s="12"/>
      <c r="AO21" s="13"/>
      <c r="AP21" s="11"/>
      <c r="AQ21" s="12"/>
      <c r="AR21" s="4"/>
      <c r="AS21" s="14"/>
      <c r="AT21" s="2"/>
      <c r="AU21" s="95"/>
      <c r="AV21" s="2"/>
      <c r="AW21" s="95"/>
      <c r="AX21" s="104"/>
      <c r="AY21" s="18"/>
      <c r="AZ21" s="18" t="str">
        <f t="shared" si="0"/>
        <v/>
      </c>
      <c r="BA21" s="18" t="str">
        <f t="shared" si="1"/>
        <v/>
      </c>
      <c r="BB21" s="18" t="str">
        <f t="shared" si="2"/>
        <v/>
      </c>
      <c r="BC21" s="18"/>
      <c r="BD21" s="18"/>
      <c r="BE21" s="18"/>
      <c r="BF21" s="18" t="str">
        <f t="shared" si="3"/>
        <v/>
      </c>
      <c r="BG21" s="18" t="str">
        <f t="shared" si="4"/>
        <v/>
      </c>
      <c r="BH21" s="18" t="str">
        <f t="shared" si="5"/>
        <v/>
      </c>
      <c r="BI21" s="18" t="str">
        <f t="shared" si="6"/>
        <v/>
      </c>
      <c r="BJ21" s="18" t="str">
        <f t="shared" si="7"/>
        <v/>
      </c>
      <c r="BK21" s="18" t="str">
        <f t="shared" si="8"/>
        <v/>
      </c>
    </row>
    <row r="22" spans="1:63" ht="8.25" customHeight="1">
      <c r="A22" s="1"/>
      <c r="B22" s="2"/>
      <c r="C22" s="3"/>
      <c r="D22" s="101"/>
      <c r="E22" s="4"/>
      <c r="F22" s="102"/>
      <c r="G22" s="2"/>
      <c r="H22" s="12"/>
      <c r="I22" s="12"/>
      <c r="J22" s="2"/>
      <c r="K22" s="12"/>
      <c r="L22" s="2"/>
      <c r="M22" s="95"/>
      <c r="N22" s="94"/>
      <c r="O22" s="2"/>
      <c r="P22" s="2"/>
      <c r="Q22" s="2"/>
      <c r="R22" s="12"/>
      <c r="S22" s="13"/>
      <c r="T22" s="9"/>
      <c r="U22" s="10"/>
      <c r="V22" s="11"/>
      <c r="W22" s="12"/>
      <c r="X22" s="12"/>
      <c r="Y22" s="12"/>
      <c r="Z22" s="12"/>
      <c r="AA22" s="12"/>
      <c r="AB22" s="12"/>
      <c r="AC22" s="12"/>
      <c r="AD22" s="12"/>
      <c r="AE22" s="103"/>
      <c r="AF22" s="102"/>
      <c r="AG22" s="12"/>
      <c r="AH22" s="12"/>
      <c r="AI22" s="2"/>
      <c r="AJ22" s="12"/>
      <c r="AK22" s="12"/>
      <c r="AL22" s="12"/>
      <c r="AM22" s="12"/>
      <c r="AN22" s="12"/>
      <c r="AO22" s="13"/>
      <c r="AP22" s="11"/>
      <c r="AQ22" s="12"/>
      <c r="AR22" s="4"/>
      <c r="AS22" s="14"/>
      <c r="AT22" s="2"/>
      <c r="AU22" s="95"/>
      <c r="AV22" s="2"/>
      <c r="AW22" s="95"/>
      <c r="AX22" s="104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</row>
    <row r="23" spans="1:63" ht="8.25" customHeight="1" thickBot="1">
      <c r="A23" s="31"/>
      <c r="B23" s="39"/>
      <c r="C23" s="40"/>
      <c r="D23" s="34"/>
      <c r="E23" s="105"/>
      <c r="F23" s="106"/>
      <c r="G23" s="32"/>
      <c r="H23" s="39"/>
      <c r="I23" s="39"/>
      <c r="J23" s="32"/>
      <c r="K23" s="39"/>
      <c r="L23" s="32"/>
      <c r="M23" s="37"/>
      <c r="N23" s="108"/>
      <c r="O23" s="39"/>
      <c r="P23" s="39"/>
      <c r="Q23" s="39"/>
      <c r="R23" s="32"/>
      <c r="S23" s="40"/>
      <c r="T23" s="41"/>
      <c r="U23" s="42"/>
      <c r="V23" s="43"/>
      <c r="W23" s="39"/>
      <c r="X23" s="39"/>
      <c r="Y23" s="39"/>
      <c r="Z23" s="39"/>
      <c r="AA23" s="39"/>
      <c r="AB23" s="39"/>
      <c r="AC23" s="39"/>
      <c r="AD23" s="39"/>
      <c r="AE23" s="105"/>
      <c r="AF23" s="106"/>
      <c r="AG23" s="39"/>
      <c r="AH23" s="39"/>
      <c r="AI23" s="39"/>
      <c r="AJ23" s="39"/>
      <c r="AK23" s="39"/>
      <c r="AL23" s="39"/>
      <c r="AM23" s="39"/>
      <c r="AN23" s="39"/>
      <c r="AO23" s="40"/>
      <c r="AP23" s="43"/>
      <c r="AQ23" s="39"/>
      <c r="AR23" s="35"/>
      <c r="AS23" s="43"/>
      <c r="AT23" s="32"/>
      <c r="AU23" s="32"/>
      <c r="AV23" s="32"/>
      <c r="AW23" s="37"/>
      <c r="AX23" s="44"/>
      <c r="AY23" s="18"/>
      <c r="AZ23" s="18" t="str">
        <f t="shared" si="0"/>
        <v/>
      </c>
      <c r="BA23" s="18" t="str">
        <f t="shared" si="1"/>
        <v/>
      </c>
      <c r="BB23" s="18" t="str">
        <f t="shared" si="2"/>
        <v/>
      </c>
      <c r="BC23" s="18"/>
      <c r="BD23" s="18"/>
      <c r="BE23" s="18"/>
      <c r="BF23" s="18" t="str">
        <f t="shared" si="3"/>
        <v/>
      </c>
      <c r="BG23" s="18" t="str">
        <f t="shared" si="4"/>
        <v/>
      </c>
      <c r="BH23" s="18" t="str">
        <f t="shared" si="5"/>
        <v/>
      </c>
      <c r="BI23" s="18" t="str">
        <f t="shared" si="6"/>
        <v/>
      </c>
      <c r="BJ23" s="18" t="str">
        <f t="shared" si="7"/>
        <v/>
      </c>
      <c r="BK23" s="18" t="str">
        <f t="shared" si="8"/>
        <v/>
      </c>
    </row>
    <row r="24" spans="1:63" ht="9" customHeight="1" thickBot="1">
      <c r="A24" s="78"/>
      <c r="B24" s="74"/>
      <c r="C24" s="18"/>
      <c r="D24" s="78"/>
      <c r="E24" s="78"/>
      <c r="F24" s="79"/>
      <c r="G24" s="18"/>
      <c r="H24" s="79"/>
      <c r="I24" s="78"/>
      <c r="J24" s="75"/>
      <c r="K24" s="78"/>
      <c r="L24" s="78"/>
      <c r="M24" s="78"/>
      <c r="N24" s="78"/>
      <c r="O24" s="78"/>
      <c r="P24" s="78"/>
      <c r="Q24" s="78"/>
      <c r="R24" s="79"/>
      <c r="S24" s="78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</row>
    <row r="25" spans="1:63" ht="8.25" customHeight="1">
      <c r="A25" s="78"/>
      <c r="B25" s="74"/>
      <c r="C25" s="78"/>
      <c r="D25" s="78"/>
      <c r="E25" s="78"/>
      <c r="F25" s="79"/>
      <c r="G25" s="18"/>
      <c r="H25" s="79"/>
      <c r="I25" s="78"/>
      <c r="J25" s="75"/>
      <c r="K25" s="78"/>
      <c r="L25" s="78"/>
      <c r="M25" s="78"/>
      <c r="N25" s="78"/>
      <c r="O25" s="78"/>
      <c r="P25" s="78"/>
      <c r="Q25" s="78"/>
      <c r="R25" s="79"/>
      <c r="S25" s="78"/>
      <c r="T25" s="79"/>
      <c r="U25" s="144" t="s">
        <v>59</v>
      </c>
      <c r="V25" s="45" t="e">
        <f>AVERAGE(V$5:V23)</f>
        <v>#DIV/0!</v>
      </c>
      <c r="W25" s="45" t="e">
        <f>AVERAGE(W$5:W23)</f>
        <v>#DIV/0!</v>
      </c>
      <c r="X25" s="45" t="s">
        <v>57</v>
      </c>
      <c r="Y25" s="45" t="s">
        <v>57</v>
      </c>
      <c r="Z25" s="45" t="e">
        <f>AVERAGE(Z$5:Z23)</f>
        <v>#DIV/0!</v>
      </c>
      <c r="AA25" s="45" t="e">
        <f>AVERAGE(AA$5:AA23)</f>
        <v>#DIV/0!</v>
      </c>
      <c r="AB25" s="45" t="s">
        <v>57</v>
      </c>
      <c r="AC25" s="45" t="s">
        <v>57</v>
      </c>
      <c r="AD25" s="45" t="e">
        <f>AVERAGE(AD$5:AD23)</f>
        <v>#DIV/0!</v>
      </c>
      <c r="AE25" s="45" t="e">
        <f>AVERAGE(AE$5:AE23)</f>
        <v>#DIV/0!</v>
      </c>
      <c r="AF25" s="45" t="e">
        <f>AVERAGE(AF$5:AF23)</f>
        <v>#DIV/0!</v>
      </c>
      <c r="AG25" s="45" t="e">
        <f>AVERAGE(AG$5:AG23)</f>
        <v>#DIV/0!</v>
      </c>
      <c r="AH25" s="45" t="s">
        <v>57</v>
      </c>
      <c r="AI25" s="45" t="s">
        <v>57</v>
      </c>
      <c r="AJ25" s="45" t="e">
        <f>AVERAGE(AJ$5:AJ23)</f>
        <v>#DIV/0!</v>
      </c>
      <c r="AK25" s="45" t="e">
        <f>AVERAGE(AK$5:AK23)</f>
        <v>#DIV/0!</v>
      </c>
      <c r="AL25" s="45" t="s">
        <v>57</v>
      </c>
      <c r="AM25" s="45" t="s">
        <v>57</v>
      </c>
      <c r="AN25" s="45" t="e">
        <f>AVERAGE(AN$5:AN23)</f>
        <v>#DIV/0!</v>
      </c>
      <c r="AO25" s="46" t="e">
        <f>AVERAGE(AO$5:AO23)</f>
        <v>#DIV/0!</v>
      </c>
      <c r="AP25" s="80"/>
      <c r="AQ25" s="79"/>
      <c r="AR25" s="79"/>
      <c r="AS25" s="47" t="s">
        <v>60</v>
      </c>
      <c r="AT25" s="45" t="s">
        <v>61</v>
      </c>
      <c r="AU25" s="45" t="s">
        <v>62</v>
      </c>
      <c r="AV25" s="46" t="s">
        <v>41</v>
      </c>
      <c r="AW25" s="79"/>
      <c r="AX25" s="79"/>
      <c r="AY25" s="79"/>
      <c r="AZ25" s="76">
        <f t="shared" ref="AZ25:BK25" si="9">SUM(AZ5:AZ23)</f>
        <v>0</v>
      </c>
      <c r="BA25" s="76">
        <f t="shared" si="9"/>
        <v>0</v>
      </c>
      <c r="BB25" s="76">
        <f t="shared" si="9"/>
        <v>0</v>
      </c>
      <c r="BC25" s="76">
        <f t="shared" si="9"/>
        <v>0</v>
      </c>
      <c r="BD25" s="76">
        <f t="shared" si="9"/>
        <v>0</v>
      </c>
      <c r="BE25" s="76">
        <f t="shared" si="9"/>
        <v>0</v>
      </c>
      <c r="BF25" s="76">
        <f t="shared" si="9"/>
        <v>0</v>
      </c>
      <c r="BG25" s="76">
        <f t="shared" si="9"/>
        <v>0</v>
      </c>
      <c r="BH25" s="76">
        <f t="shared" si="9"/>
        <v>0</v>
      </c>
      <c r="BI25" s="76">
        <f t="shared" si="9"/>
        <v>0</v>
      </c>
      <c r="BJ25" s="76">
        <f t="shared" si="9"/>
        <v>0</v>
      </c>
      <c r="BK25" s="76">
        <f t="shared" si="9"/>
        <v>0</v>
      </c>
    </row>
    <row r="26" spans="1:63" ht="8.25" customHeight="1">
      <c r="A26" s="78"/>
      <c r="B26" s="74"/>
      <c r="C26" s="78"/>
      <c r="D26" s="78"/>
      <c r="E26" s="78"/>
      <c r="F26" s="79"/>
      <c r="G26" s="18"/>
      <c r="H26" s="79"/>
      <c r="I26" s="78"/>
      <c r="J26" s="75"/>
      <c r="K26" s="78"/>
      <c r="L26" s="78"/>
      <c r="M26" s="78"/>
      <c r="N26" s="78"/>
      <c r="O26" s="78"/>
      <c r="P26" s="78"/>
      <c r="Q26" s="78"/>
      <c r="R26" s="79"/>
      <c r="S26" s="78"/>
      <c r="T26" s="79"/>
      <c r="U26" s="145" t="s">
        <v>63</v>
      </c>
      <c r="V26" s="2">
        <f>MIN(V$5:V23)</f>
        <v>0</v>
      </c>
      <c r="W26" s="2">
        <f>MIN(W$5:W23)</f>
        <v>0</v>
      </c>
      <c r="X26" s="2" t="s">
        <v>57</v>
      </c>
      <c r="Y26" s="2" t="s">
        <v>57</v>
      </c>
      <c r="Z26" s="2">
        <f>MIN(Z$5:Z23)</f>
        <v>0</v>
      </c>
      <c r="AA26" s="2">
        <f>MIN(AA$5:AA23)</f>
        <v>0</v>
      </c>
      <c r="AB26" s="2" t="s">
        <v>57</v>
      </c>
      <c r="AC26" s="2" t="s">
        <v>57</v>
      </c>
      <c r="AD26" s="2">
        <f>MIN(AD$5:AD23)</f>
        <v>0</v>
      </c>
      <c r="AE26" s="2">
        <f>MIN(AE$5:AE23)</f>
        <v>0</v>
      </c>
      <c r="AF26" s="2">
        <f>MIN(AF$5:AF23)</f>
        <v>0</v>
      </c>
      <c r="AG26" s="2">
        <f>MIN(AG$5:AG23)</f>
        <v>0</v>
      </c>
      <c r="AH26" s="2" t="s">
        <v>57</v>
      </c>
      <c r="AI26" s="2" t="s">
        <v>57</v>
      </c>
      <c r="AJ26" s="2">
        <f>MIN(AJ$5:AJ23)</f>
        <v>0</v>
      </c>
      <c r="AK26" s="2">
        <f>MIN(AK$5:AK23)</f>
        <v>0</v>
      </c>
      <c r="AL26" s="2" t="s">
        <v>57</v>
      </c>
      <c r="AM26" s="2" t="s">
        <v>57</v>
      </c>
      <c r="AN26" s="2">
        <f>MIN(AN$5:AN23)</f>
        <v>0</v>
      </c>
      <c r="AO26" s="29">
        <f>MIN(AO$5:AO23)</f>
        <v>0</v>
      </c>
      <c r="AP26" s="80"/>
      <c r="AQ26" s="79"/>
      <c r="AR26" s="79"/>
      <c r="AS26" s="48" t="s">
        <v>64</v>
      </c>
      <c r="AT26" s="2" t="s">
        <v>65</v>
      </c>
      <c r="AU26" s="2">
        <f>SUM(AQ5:AQ23)</f>
        <v>0</v>
      </c>
      <c r="AV26" s="29">
        <f>SUM(AP5:AP23)</f>
        <v>0</v>
      </c>
      <c r="AW26" s="79"/>
      <c r="AX26" s="79"/>
      <c r="AY26" s="79"/>
      <c r="AZ26" s="81" t="s">
        <v>45</v>
      </c>
      <c r="BA26" s="81" t="s">
        <v>46</v>
      </c>
      <c r="BB26" s="81" t="s">
        <v>47</v>
      </c>
      <c r="BC26" s="81" t="s">
        <v>48</v>
      </c>
      <c r="BD26" s="81" t="s">
        <v>49</v>
      </c>
      <c r="BE26" s="81" t="s">
        <v>50</v>
      </c>
      <c r="BF26" s="81" t="s">
        <v>51</v>
      </c>
      <c r="BG26" s="81" t="s">
        <v>52</v>
      </c>
      <c r="BH26" s="81" t="s">
        <v>53</v>
      </c>
      <c r="BI26" s="81" t="s">
        <v>54</v>
      </c>
      <c r="BJ26" s="77" t="s">
        <v>55</v>
      </c>
      <c r="BK26" s="81" t="s">
        <v>56</v>
      </c>
    </row>
    <row r="27" spans="1:63" ht="8.25" customHeight="1">
      <c r="A27" s="78"/>
      <c r="B27" s="74"/>
      <c r="C27" s="78"/>
      <c r="D27" s="78"/>
      <c r="E27" s="78"/>
      <c r="F27" s="79"/>
      <c r="G27" s="18"/>
      <c r="H27" s="79"/>
      <c r="I27" s="78"/>
      <c r="J27" s="75"/>
      <c r="K27" s="78"/>
      <c r="L27" s="78"/>
      <c r="M27" s="78"/>
      <c r="N27" s="78"/>
      <c r="O27" s="78"/>
      <c r="P27" s="78"/>
      <c r="Q27" s="78"/>
      <c r="R27" s="79"/>
      <c r="S27" s="78"/>
      <c r="T27" s="79"/>
      <c r="U27" s="145" t="s">
        <v>146</v>
      </c>
      <c r="V27" s="2">
        <f>MAX(V$5:V23)</f>
        <v>0</v>
      </c>
      <c r="W27" s="2">
        <f>MAX(W$5:W23)</f>
        <v>0</v>
      </c>
      <c r="X27" s="2" t="s">
        <v>57</v>
      </c>
      <c r="Y27" s="2" t="s">
        <v>57</v>
      </c>
      <c r="Z27" s="2">
        <f>MAX(Z$5:Z23)</f>
        <v>0</v>
      </c>
      <c r="AA27" s="2">
        <f>MAX(AA$5:AA23)</f>
        <v>0</v>
      </c>
      <c r="AB27" s="2" t="s">
        <v>57</v>
      </c>
      <c r="AC27" s="2" t="s">
        <v>57</v>
      </c>
      <c r="AD27" s="2">
        <f>MAX(AD$5:AD23)</f>
        <v>0</v>
      </c>
      <c r="AE27" s="2">
        <f>MAX(AE$5:AE23)</f>
        <v>0</v>
      </c>
      <c r="AF27" s="2">
        <f>MAX(AF$5:AF23)</f>
        <v>0</v>
      </c>
      <c r="AG27" s="2">
        <f>MAX(AG$5:AG23)</f>
        <v>0</v>
      </c>
      <c r="AH27" s="2" t="s">
        <v>57</v>
      </c>
      <c r="AI27" s="2" t="s">
        <v>57</v>
      </c>
      <c r="AJ27" s="2">
        <f>MAX(AJ$5:AJ23)</f>
        <v>0</v>
      </c>
      <c r="AK27" s="2">
        <f>MAX(AK$5:AK23)</f>
        <v>0</v>
      </c>
      <c r="AL27" s="2" t="s">
        <v>57</v>
      </c>
      <c r="AM27" s="2" t="s">
        <v>57</v>
      </c>
      <c r="AN27" s="2">
        <f>MAX(AN$5:AN23)</f>
        <v>0</v>
      </c>
      <c r="AO27" s="29">
        <f>MAX(AO$5:AO23)</f>
        <v>0</v>
      </c>
      <c r="AP27" s="80"/>
      <c r="AQ27" s="79"/>
      <c r="AR27" s="79"/>
      <c r="AS27" s="48" t="s">
        <v>46</v>
      </c>
      <c r="AT27" s="2">
        <f>AZ25</f>
        <v>0</v>
      </c>
      <c r="AU27" s="2">
        <f>BA25</f>
        <v>0</v>
      </c>
      <c r="AV27" s="29">
        <f>BB25</f>
        <v>0</v>
      </c>
      <c r="AW27" s="79"/>
      <c r="AX27" s="79"/>
      <c r="AY27" s="79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</row>
    <row r="28" spans="1:63" ht="8.25" customHeight="1">
      <c r="A28" s="78"/>
      <c r="B28" s="74"/>
      <c r="C28" s="78"/>
      <c r="D28" s="78"/>
      <c r="E28" s="78"/>
      <c r="F28" s="79"/>
      <c r="G28" s="18"/>
      <c r="H28" s="79"/>
      <c r="I28" s="78"/>
      <c r="J28" s="75"/>
      <c r="K28" s="78"/>
      <c r="L28" s="78"/>
      <c r="M28" s="78"/>
      <c r="N28" s="78"/>
      <c r="O28" s="78"/>
      <c r="P28" s="78"/>
      <c r="Q28" s="78"/>
      <c r="R28" s="79"/>
      <c r="S28" s="78"/>
      <c r="T28" s="79"/>
      <c r="U28" s="145" t="s">
        <v>66</v>
      </c>
      <c r="V28" s="2" t="e">
        <f>STDEV(V$5:V23)</f>
        <v>#DIV/0!</v>
      </c>
      <c r="W28" s="2" t="e">
        <f>STDEV(W$5:W23)</f>
        <v>#DIV/0!</v>
      </c>
      <c r="X28" s="2" t="s">
        <v>57</v>
      </c>
      <c r="Y28" s="2" t="s">
        <v>57</v>
      </c>
      <c r="Z28" s="2" t="e">
        <f>STDEV(Z$5:Z23)</f>
        <v>#DIV/0!</v>
      </c>
      <c r="AA28" s="2" t="e">
        <f>STDEV(AA$5:AA23)</f>
        <v>#DIV/0!</v>
      </c>
      <c r="AB28" s="2" t="s">
        <v>57</v>
      </c>
      <c r="AC28" s="2" t="s">
        <v>57</v>
      </c>
      <c r="AD28" s="2" t="e">
        <f>STDEV(AD$5:AD23)</f>
        <v>#DIV/0!</v>
      </c>
      <c r="AE28" s="2" t="e">
        <f>STDEV(AE$5:AE23)</f>
        <v>#DIV/0!</v>
      </c>
      <c r="AF28" s="2" t="e">
        <f>STDEV(AF$5:AF23)</f>
        <v>#DIV/0!</v>
      </c>
      <c r="AG28" s="2" t="e">
        <f>STDEV(AG$5:AG23)</f>
        <v>#DIV/0!</v>
      </c>
      <c r="AH28" s="2" t="s">
        <v>57</v>
      </c>
      <c r="AI28" s="2" t="s">
        <v>57</v>
      </c>
      <c r="AJ28" s="2" t="e">
        <f>STDEV(AJ$5:AJ23)</f>
        <v>#DIV/0!</v>
      </c>
      <c r="AK28" s="2" t="e">
        <f>STDEV(AK$5:AK23)</f>
        <v>#DIV/0!</v>
      </c>
      <c r="AL28" s="2" t="s">
        <v>57</v>
      </c>
      <c r="AM28" s="2" t="s">
        <v>57</v>
      </c>
      <c r="AN28" s="2" t="e">
        <f>STDEV(AN$5:AN23)</f>
        <v>#DIV/0!</v>
      </c>
      <c r="AO28" s="29" t="e">
        <f>STDEV(AO$5:AO23)</f>
        <v>#DIV/0!</v>
      </c>
      <c r="AP28" s="80"/>
      <c r="AQ28" s="79"/>
      <c r="AR28" s="79"/>
      <c r="AS28" s="48" t="s">
        <v>49</v>
      </c>
      <c r="AT28" s="2">
        <f>BC25</f>
        <v>0</v>
      </c>
      <c r="AU28" s="2">
        <f>BD25</f>
        <v>0</v>
      </c>
      <c r="AV28" s="29">
        <f>BE25</f>
        <v>0</v>
      </c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</row>
    <row r="29" spans="1:63" ht="9" customHeight="1" thickBot="1">
      <c r="A29" s="78"/>
      <c r="B29" s="74"/>
      <c r="C29" s="78"/>
      <c r="D29" s="78"/>
      <c r="E29" s="78"/>
      <c r="F29" s="79"/>
      <c r="G29" s="18"/>
      <c r="H29" s="79"/>
      <c r="I29" s="78"/>
      <c r="J29" s="75"/>
      <c r="K29" s="78"/>
      <c r="L29" s="78"/>
      <c r="M29" s="78"/>
      <c r="N29" s="78"/>
      <c r="O29" s="78"/>
      <c r="P29" s="78"/>
      <c r="Q29" s="78"/>
      <c r="R29" s="79"/>
      <c r="S29" s="78"/>
      <c r="T29" s="79"/>
      <c r="U29" s="146" t="s">
        <v>67</v>
      </c>
      <c r="V29" s="32" t="e">
        <f t="shared" ref="V29:AA29" si="10">IF(V25+(3*V28)&gt;100,100,V25+(3*V28))</f>
        <v>#DIV/0!</v>
      </c>
      <c r="W29" s="32" t="e">
        <f t="shared" si="10"/>
        <v>#DIV/0!</v>
      </c>
      <c r="X29" s="32" t="s">
        <v>57</v>
      </c>
      <c r="Y29" s="32" t="s">
        <v>57</v>
      </c>
      <c r="Z29" s="32" t="e">
        <f t="shared" si="10"/>
        <v>#DIV/0!</v>
      </c>
      <c r="AA29" s="32" t="e">
        <f t="shared" si="10"/>
        <v>#DIV/0!</v>
      </c>
      <c r="AB29" s="32" t="s">
        <v>57</v>
      </c>
      <c r="AC29" s="32" t="s">
        <v>57</v>
      </c>
      <c r="AD29" s="32" t="e">
        <f t="shared" ref="AD29:AK29" si="11">IF(AD25+(3*AD28)&gt;100,100,AD25+(3*AD28))</f>
        <v>#DIV/0!</v>
      </c>
      <c r="AE29" s="32" t="e">
        <f t="shared" si="11"/>
        <v>#DIV/0!</v>
      </c>
      <c r="AF29" s="32" t="e">
        <f t="shared" si="11"/>
        <v>#DIV/0!</v>
      </c>
      <c r="AG29" s="32" t="e">
        <f t="shared" si="11"/>
        <v>#DIV/0!</v>
      </c>
      <c r="AH29" s="32" t="s">
        <v>57</v>
      </c>
      <c r="AI29" s="32" t="s">
        <v>57</v>
      </c>
      <c r="AJ29" s="32" t="e">
        <f t="shared" si="11"/>
        <v>#DIV/0!</v>
      </c>
      <c r="AK29" s="32" t="e">
        <f t="shared" si="11"/>
        <v>#DIV/0!</v>
      </c>
      <c r="AL29" s="32" t="s">
        <v>57</v>
      </c>
      <c r="AM29" s="32" t="s">
        <v>57</v>
      </c>
      <c r="AN29" s="32" t="e">
        <f>IF(AN25+(3*AN28)&gt;100,100,AN25+(3*AN28))</f>
        <v>#DIV/0!</v>
      </c>
      <c r="AO29" s="49" t="e">
        <f>IF(AO25+(3*AO28)&gt;100,100,AO25+(3*AO28))</f>
        <v>#DIV/0!</v>
      </c>
      <c r="AP29" s="80"/>
      <c r="AQ29" s="79"/>
      <c r="AR29" s="79"/>
      <c r="AS29" s="48" t="s">
        <v>52</v>
      </c>
      <c r="AT29" s="2">
        <f>BF25</f>
        <v>0</v>
      </c>
      <c r="AU29" s="2">
        <f>BG25</f>
        <v>0</v>
      </c>
      <c r="AV29" s="29">
        <f>BH25</f>
        <v>0</v>
      </c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</row>
    <row r="30" spans="1:63" ht="9" customHeight="1" thickBot="1">
      <c r="A30" s="78"/>
      <c r="B30" s="74"/>
      <c r="C30" s="78"/>
      <c r="D30" s="78"/>
      <c r="E30" s="78"/>
      <c r="F30" s="79"/>
      <c r="G30" s="18"/>
      <c r="H30" s="79"/>
      <c r="I30" s="78"/>
      <c r="J30" s="75"/>
      <c r="K30" s="78"/>
      <c r="L30" s="78"/>
      <c r="M30" s="78"/>
      <c r="N30" s="78"/>
      <c r="O30" s="78"/>
      <c r="P30" s="78"/>
      <c r="Q30" s="78"/>
      <c r="R30" s="79"/>
      <c r="S30" s="78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80"/>
      <c r="AL30" s="79"/>
      <c r="AM30" s="79"/>
      <c r="AN30" s="79"/>
      <c r="AO30" s="79"/>
      <c r="AP30" s="79"/>
      <c r="AQ30" s="79"/>
      <c r="AR30" s="79"/>
      <c r="AS30" s="50" t="s">
        <v>58</v>
      </c>
      <c r="AT30" s="32">
        <f>BI25</f>
        <v>0</v>
      </c>
      <c r="AU30" s="32">
        <f>BJ25</f>
        <v>0</v>
      </c>
      <c r="AV30" s="49">
        <f>BK25</f>
        <v>0</v>
      </c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18" t="str">
        <f>IF(AND($AS30="HAST",NOT(ISBLANK($AW30))),$AX30*$AU30,"")</f>
        <v/>
      </c>
      <c r="BJ30" s="18" t="str">
        <f>IF(AND($AS30="HAST",NOT(ISBLANK($AW30))),$AX30,"")</f>
        <v/>
      </c>
      <c r="BK30" s="18" t="str">
        <f>IF(AND($AS30="HAST",NOT(ISBLANK($AW30))),$AW30,"")</f>
        <v/>
      </c>
    </row>
    <row r="31" spans="1:63" ht="8.25" customHeight="1">
      <c r="U31" s="18" t="s">
        <v>69</v>
      </c>
      <c r="V31" s="73"/>
      <c r="W31" s="73"/>
    </row>
    <row r="32" spans="1:63" ht="8.25" customHeight="1">
      <c r="U32" s="18"/>
      <c r="V32" s="82" t="s">
        <v>70</v>
      </c>
      <c r="W32" s="73"/>
    </row>
    <row r="33" spans="21:22" ht="8.25" customHeight="1">
      <c r="U33" s="18"/>
      <c r="V33" s="82" t="s">
        <v>71</v>
      </c>
    </row>
    <row r="34" spans="21:22" ht="8.25" customHeight="1">
      <c r="U34" s="18"/>
      <c r="V34" s="82" t="s">
        <v>72</v>
      </c>
    </row>
    <row r="35" spans="21:22" ht="8.25" customHeight="1">
      <c r="U35" s="18"/>
      <c r="V35" s="82" t="s">
        <v>73</v>
      </c>
    </row>
    <row r="36" spans="21:22" ht="8.25" customHeight="1">
      <c r="U36" s="18"/>
      <c r="V36" s="82" t="s">
        <v>74</v>
      </c>
    </row>
  </sheetData>
  <mergeCells count="37">
    <mergeCell ref="AN3:AO3"/>
    <mergeCell ref="AQ3:AQ4"/>
    <mergeCell ref="AR3:AR4"/>
    <mergeCell ref="AS3:AS4"/>
    <mergeCell ref="AX3:AX4"/>
    <mergeCell ref="AP1:AR2"/>
    <mergeCell ref="AS1:AX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S2"/>
    <mergeCell ref="T1:T4"/>
    <mergeCell ref="U1:U4"/>
    <mergeCell ref="V1:AE2"/>
    <mergeCell ref="AL3:AM3"/>
    <mergeCell ref="L3:L4"/>
    <mergeCell ref="M3:M4"/>
    <mergeCell ref="O3:O4"/>
    <mergeCell ref="P3:P4"/>
    <mergeCell ref="AF1:AO2"/>
    <mergeCell ref="Q3:Q4"/>
    <mergeCell ref="R3:R4"/>
    <mergeCell ref="S3:S4"/>
    <mergeCell ref="V3:W3"/>
    <mergeCell ref="X3:Y3"/>
    <mergeCell ref="Z3:AA3"/>
    <mergeCell ref="AB3:AC3"/>
    <mergeCell ref="AD3:AE3"/>
    <mergeCell ref="AF3:AG3"/>
    <mergeCell ref="AH3:AI3"/>
    <mergeCell ref="AJ3:AK3"/>
  </mergeCells>
  <conditionalFormatting sqref="AR9">
    <cfRule type="cellIs" dxfId="81" priority="47" stopIfTrue="1" operator="equal">
      <formula>"Failed"</formula>
    </cfRule>
    <cfRule type="cellIs" dxfId="80" priority="48" stopIfTrue="1" operator="equal">
      <formula>"Ongoing"</formula>
    </cfRule>
    <cfRule type="cellIs" dxfId="79" priority="49" stopIfTrue="1" operator="equal">
      <formula>"Failed"</formula>
    </cfRule>
    <cfRule type="cellIs" dxfId="78" priority="50" stopIfTrue="1" operator="equal">
      <formula>"Ongoing"</formula>
    </cfRule>
    <cfRule type="cellIs" dxfId="77" priority="51" stopIfTrue="1" operator="equal">
      <formula>"Failed"</formula>
    </cfRule>
    <cfRule type="cellIs" dxfId="76" priority="52" stopIfTrue="1" operator="equal">
      <formula>"Ongoing"</formula>
    </cfRule>
    <cfRule type="cellIs" dxfId="75" priority="53" stopIfTrue="1" operator="equal">
      <formula>"Failed"</formula>
    </cfRule>
    <cfRule type="cellIs" dxfId="74" priority="54" stopIfTrue="1" operator="equal">
      <formula>"Ongoing"</formula>
    </cfRule>
    <cfRule type="cellIs" dxfId="73" priority="46" stopIfTrue="1" operator="equal">
      <formula>"Ongoing"</formula>
    </cfRule>
    <cfRule type="cellIs" dxfId="72" priority="55" stopIfTrue="1" operator="equal">
      <formula>"Failed"</formula>
    </cfRule>
    <cfRule type="cellIs" dxfId="71" priority="56" stopIfTrue="1" operator="equal">
      <formula>"Ongoing"</formula>
    </cfRule>
    <cfRule type="cellIs" dxfId="70" priority="57" stopIfTrue="1" operator="equal">
      <formula>"Failed"</formula>
    </cfRule>
    <cfRule type="cellIs" dxfId="69" priority="58" stopIfTrue="1" operator="equal">
      <formula>"Ongoing"</formula>
    </cfRule>
    <cfRule type="cellIs" dxfId="68" priority="59" stopIfTrue="1" operator="equal">
      <formula>"Failed"</formula>
    </cfRule>
    <cfRule type="cellIs" dxfId="67" priority="60" stopIfTrue="1" operator="equal">
      <formula>"Ongoing"</formula>
    </cfRule>
    <cfRule type="cellIs" dxfId="66" priority="61" stopIfTrue="1" operator="equal">
      <formula>"Failed"</formula>
    </cfRule>
    <cfRule type="cellIs" dxfId="65" priority="62" stopIfTrue="1" operator="equal">
      <formula>"Ongoing"</formula>
    </cfRule>
    <cfRule type="cellIs" dxfId="64" priority="63" stopIfTrue="1" operator="equal">
      <formula>"Failed"</formula>
    </cfRule>
    <cfRule type="cellIs" dxfId="63" priority="65" stopIfTrue="1" operator="equal">
      <formula>"Failed"</formula>
    </cfRule>
    <cfRule type="cellIs" dxfId="62" priority="66" stopIfTrue="1" operator="equal">
      <formula>"Ongoing"</formula>
    </cfRule>
    <cfRule type="cellIs" dxfId="61" priority="67" stopIfTrue="1" operator="equal">
      <formula>"Failed"</formula>
    </cfRule>
    <cfRule type="cellIs" dxfId="60" priority="68" stopIfTrue="1" operator="equal">
      <formula>"Ongoing"</formula>
    </cfRule>
    <cfRule type="cellIs" dxfId="59" priority="69" stopIfTrue="1" operator="equal">
      <formula>"Failed"</formula>
    </cfRule>
    <cfRule type="cellIs" dxfId="58" priority="70" stopIfTrue="1" operator="equal">
      <formula>"Ongoing"</formula>
    </cfRule>
    <cfRule type="cellIs" dxfId="57" priority="71" stopIfTrue="1" operator="equal">
      <formula>"Failed"</formula>
    </cfRule>
    <cfRule type="cellIs" dxfId="56" priority="72" stopIfTrue="1" operator="equal">
      <formula>"Ongoing"</formula>
    </cfRule>
    <cfRule type="cellIs" dxfId="55" priority="37" stopIfTrue="1" operator="equal">
      <formula>"Ongoing"</formula>
    </cfRule>
    <cfRule type="cellIs" dxfId="54" priority="30" stopIfTrue="1" operator="equal">
      <formula>"Failed"</formula>
    </cfRule>
    <cfRule type="cellIs" dxfId="53" priority="31" stopIfTrue="1" operator="equal">
      <formula>"Ongoing"</formula>
    </cfRule>
    <cfRule type="cellIs" dxfId="52" priority="32" stopIfTrue="1" operator="equal">
      <formula>"Failed"</formula>
    </cfRule>
    <cfRule type="cellIs" dxfId="51" priority="33" stopIfTrue="1" operator="equal">
      <formula>"Ongoing"</formula>
    </cfRule>
    <cfRule type="cellIs" dxfId="50" priority="34" stopIfTrue="1" operator="equal">
      <formula>"Failed"</formula>
    </cfRule>
    <cfRule type="cellIs" dxfId="49" priority="35" stopIfTrue="1" operator="equal">
      <formula>"Ongoing"</formula>
    </cfRule>
    <cfRule type="cellIs" dxfId="48" priority="36" stopIfTrue="1" operator="equal">
      <formula>"Failed"</formula>
    </cfRule>
    <cfRule type="cellIs" dxfId="47" priority="64" stopIfTrue="1" operator="equal">
      <formula>"Ongoing"</formula>
    </cfRule>
    <cfRule type="cellIs" dxfId="46" priority="38" stopIfTrue="1" operator="equal">
      <formula>"Failed"</formula>
    </cfRule>
    <cfRule type="cellIs" dxfId="45" priority="39" stopIfTrue="1" operator="equal">
      <formula>"Ongoing"</formula>
    </cfRule>
    <cfRule type="cellIs" dxfId="44" priority="40" stopIfTrue="1" operator="equal">
      <formula>"Failed"</formula>
    </cfRule>
    <cfRule type="cellIs" dxfId="43" priority="41" stopIfTrue="1" operator="equal">
      <formula>"Ongoing"</formula>
    </cfRule>
    <cfRule type="cellIs" dxfId="42" priority="43" stopIfTrue="1" operator="equal">
      <formula>"Failed"</formula>
    </cfRule>
    <cfRule type="cellIs" dxfId="41" priority="44" stopIfTrue="1" operator="equal">
      <formula>"Ongoing"</formula>
    </cfRule>
    <cfRule type="cellIs" dxfId="40" priority="45" stopIfTrue="1" operator="equal">
      <formula>"Failed"</formula>
    </cfRule>
  </conditionalFormatting>
  <conditionalFormatting sqref="AR9:AR10">
    <cfRule type="cellIs" dxfId="39" priority="26" stopIfTrue="1" operator="equal">
      <formula>"Failed"</formula>
    </cfRule>
    <cfRule type="cellIs" dxfId="38" priority="27" stopIfTrue="1" operator="equal">
      <formula>"Ongoing"</formula>
    </cfRule>
  </conditionalFormatting>
  <conditionalFormatting sqref="AR10">
    <cfRule type="cellIs" dxfId="37" priority="1" stopIfTrue="1" operator="equal">
      <formula>"Failed"</formula>
    </cfRule>
    <cfRule type="cellIs" dxfId="36" priority="2" stopIfTrue="1" operator="equal">
      <formula>"Ongoing"</formula>
    </cfRule>
    <cfRule type="cellIs" dxfId="35" priority="3" stopIfTrue="1" operator="equal">
      <formula>"Failed"</formula>
    </cfRule>
    <cfRule type="cellIs" dxfId="34" priority="4" stopIfTrue="1" operator="equal">
      <formula>"Ongoing"</formula>
    </cfRule>
    <cfRule type="cellIs" dxfId="33" priority="5" stopIfTrue="1" operator="equal">
      <formula>"Failed"</formula>
    </cfRule>
    <cfRule type="cellIs" dxfId="32" priority="6" stopIfTrue="1" operator="equal">
      <formula>"Ongoing"</formula>
    </cfRule>
    <cfRule type="cellIs" dxfId="31" priority="7" stopIfTrue="1" operator="equal">
      <formula>"Failed"</formula>
    </cfRule>
    <cfRule type="cellIs" dxfId="30" priority="8" stopIfTrue="1" operator="equal">
      <formula>"Ongoing"</formula>
    </cfRule>
    <cfRule type="cellIs" dxfId="29" priority="10" stopIfTrue="1" operator="equal">
      <formula>"Failed"</formula>
    </cfRule>
    <cfRule type="cellIs" dxfId="28" priority="11" stopIfTrue="1" operator="equal">
      <formula>"Ongoing"</formula>
    </cfRule>
    <cfRule type="cellIs" dxfId="27" priority="12" stopIfTrue="1" operator="equal">
      <formula>"Failed"</formula>
    </cfRule>
    <cfRule type="cellIs" dxfId="26" priority="13" stopIfTrue="1" operator="equal">
      <formula>"Ongoing"</formula>
    </cfRule>
    <cfRule type="cellIs" dxfId="25" priority="14" stopIfTrue="1" operator="equal">
      <formula>"Failed"</formula>
    </cfRule>
    <cfRule type="cellIs" dxfId="24" priority="15" stopIfTrue="1" operator="equal">
      <formula>"Ongoing"</formula>
    </cfRule>
    <cfRule type="cellIs" dxfId="23" priority="16" stopIfTrue="1" operator="equal">
      <formula>"Failed"</formula>
    </cfRule>
    <cfRule type="cellIs" dxfId="22" priority="18" stopIfTrue="1" operator="equal">
      <formula>"Failed"</formula>
    </cfRule>
    <cfRule type="cellIs" dxfId="21" priority="19" stopIfTrue="1" operator="equal">
      <formula>"Ongoing"</formula>
    </cfRule>
    <cfRule type="cellIs" dxfId="20" priority="20" stopIfTrue="1" operator="equal">
      <formula>"Failed"</formula>
    </cfRule>
    <cfRule type="cellIs" dxfId="19" priority="21" stopIfTrue="1" operator="equal">
      <formula>"Ongoing"</formula>
    </cfRule>
    <cfRule type="cellIs" dxfId="18" priority="22" stopIfTrue="1" operator="equal">
      <formula>"Failed"</formula>
    </cfRule>
    <cfRule type="cellIs" dxfId="17" priority="23" stopIfTrue="1" operator="equal">
      <formula>"Ongoing"</formula>
    </cfRule>
    <cfRule type="cellIs" dxfId="16" priority="24" stopIfTrue="1" operator="equal">
      <formula>"Failed"</formula>
    </cfRule>
    <cfRule type="cellIs" dxfId="15" priority="25" stopIfTrue="1" operator="equal">
      <formula>"Ongoing"</formula>
    </cfRule>
    <cfRule type="cellIs" dxfId="14" priority="17" stopIfTrue="1" operator="equal">
      <formula>"Ongoing"</formula>
    </cfRule>
  </conditionalFormatting>
  <conditionalFormatting sqref="AW5:AW22">
    <cfRule type="cellIs" dxfId="13" priority="9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41"/>
  <sheetViews>
    <sheetView showGridLines="0" zoomScale="140" zoomScaleNormal="140" workbookViewId="0">
      <pane xSplit="5" ySplit="4" topLeftCell="S5" activePane="bottomRight" state="frozen"/>
      <selection activeCell="L8" sqref="L8:N10"/>
      <selection pane="topRight" activeCell="L8" sqref="L8:N10"/>
      <selection pane="bottomLeft" activeCell="L8" sqref="L8:N10"/>
      <selection pane="bottomRight" activeCell="AM5" sqref="AM5"/>
    </sheetView>
  </sheetViews>
  <sheetFormatPr defaultColWidth="14.453125" defaultRowHeight="15" customHeight="1"/>
  <cols>
    <col min="1" max="1" width="5.26953125" style="109" customWidth="1"/>
    <col min="2" max="2" width="3.26953125" style="109" customWidth="1"/>
    <col min="3" max="3" width="6" style="109" customWidth="1"/>
    <col min="4" max="5" width="4" style="109" customWidth="1"/>
    <col min="6" max="6" width="5.26953125" style="109" customWidth="1"/>
    <col min="7" max="7" width="1.54296875" style="109" customWidth="1"/>
    <col min="8" max="8" width="5.26953125" style="109" customWidth="1"/>
    <col min="9" max="9" width="6" style="109" customWidth="1"/>
    <col min="10" max="10" width="5.7265625" style="109" customWidth="1"/>
    <col min="11" max="11" width="9.54296875" style="109" customWidth="1"/>
    <col min="12" max="12" width="4.453125" style="287" customWidth="1"/>
    <col min="13" max="13" width="4.26953125" style="109" customWidth="1"/>
    <col min="14" max="14" width="10" style="109" customWidth="1"/>
    <col min="15" max="15" width="6.81640625" style="109" customWidth="1"/>
    <col min="16" max="16" width="14.81640625" style="109" customWidth="1"/>
    <col min="17" max="17" width="11" style="109" customWidth="1"/>
    <col min="18" max="18" width="8.54296875" style="109" customWidth="1"/>
    <col min="19" max="26" width="2.7265625" style="109" customWidth="1"/>
    <col min="27" max="28" width="2.7265625" style="109" hidden="1" customWidth="1"/>
    <col min="29" max="36" width="2.7265625" style="109" customWidth="1"/>
    <col min="37" max="38" width="2.7265625" style="109" hidden="1" customWidth="1"/>
    <col min="39" max="40" width="2.7265625" style="109" customWidth="1"/>
    <col min="41" max="41" width="5.54296875" style="109" customWidth="1"/>
    <col min="42" max="42" width="5" style="109" customWidth="1"/>
    <col min="43" max="43" width="7.54296875" style="109" customWidth="1"/>
    <col min="44" max="45" width="4.54296875" style="109" customWidth="1"/>
    <col min="46" max="46" width="2.7265625" style="109" customWidth="1"/>
    <col min="47" max="47" width="3" style="109" customWidth="1"/>
    <col min="48" max="48" width="1.26953125" style="109" customWidth="1"/>
    <col min="49" max="49" width="6.54296875" style="109" customWidth="1"/>
    <col min="50" max="50" width="3.7265625" style="109" customWidth="1"/>
    <col min="51" max="51" width="5.54296875" style="109" customWidth="1"/>
    <col min="52" max="54" width="2.81640625" style="109" hidden="1" customWidth="1"/>
    <col min="55" max="55" width="6.54296875" style="109" customWidth="1"/>
    <col min="56" max="56" width="4.26953125" style="109" customWidth="1"/>
    <col min="57" max="57" width="5.7265625" style="109" customWidth="1"/>
    <col min="58" max="58" width="6.7265625" style="109" customWidth="1"/>
    <col min="59" max="59" width="4.26953125" style="109" customWidth="1"/>
    <col min="60" max="60" width="6" style="109" customWidth="1"/>
    <col min="61" max="70" width="9.1796875" style="109" customWidth="1"/>
    <col min="71" max="16384" width="14.453125" style="109"/>
  </cols>
  <sheetData>
    <row r="1" spans="1:60" ht="10.5" customHeight="1">
      <c r="A1" s="322" t="s">
        <v>0</v>
      </c>
      <c r="B1" s="297"/>
      <c r="C1" s="298"/>
      <c r="D1" s="324" t="s">
        <v>1</v>
      </c>
      <c r="E1" s="298"/>
      <c r="F1" s="325" t="s">
        <v>2</v>
      </c>
      <c r="G1" s="326"/>
      <c r="H1" s="326"/>
      <c r="I1" s="326"/>
      <c r="J1" s="326"/>
      <c r="K1" s="326"/>
      <c r="L1" s="326"/>
      <c r="M1" s="326"/>
      <c r="N1" s="326"/>
      <c r="O1" s="326"/>
      <c r="P1" s="327"/>
      <c r="Q1" s="328" t="s">
        <v>3</v>
      </c>
      <c r="R1" s="331" t="s">
        <v>4</v>
      </c>
      <c r="S1" s="334" t="s">
        <v>5</v>
      </c>
      <c r="T1" s="297"/>
      <c r="U1" s="297"/>
      <c r="V1" s="297"/>
      <c r="W1" s="297"/>
      <c r="X1" s="297"/>
      <c r="Y1" s="297"/>
      <c r="Z1" s="297"/>
      <c r="AA1" s="297"/>
      <c r="AB1" s="335"/>
      <c r="AC1" s="296" t="s">
        <v>6</v>
      </c>
      <c r="AD1" s="297"/>
      <c r="AE1" s="297"/>
      <c r="AF1" s="297"/>
      <c r="AG1" s="297"/>
      <c r="AH1" s="297"/>
      <c r="AI1" s="297"/>
      <c r="AJ1" s="297"/>
      <c r="AK1" s="297"/>
      <c r="AL1" s="298"/>
      <c r="AM1" s="302" t="s">
        <v>7</v>
      </c>
      <c r="AN1" s="297"/>
      <c r="AO1" s="303"/>
      <c r="AP1" s="306" t="s">
        <v>8</v>
      </c>
      <c r="AQ1" s="297"/>
      <c r="AR1" s="297"/>
      <c r="AS1" s="297"/>
      <c r="AT1" s="297"/>
      <c r="AU1" s="307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23"/>
      <c r="B2" s="300"/>
      <c r="C2" s="301"/>
      <c r="D2" s="304"/>
      <c r="E2" s="301"/>
      <c r="F2" s="304"/>
      <c r="G2" s="300"/>
      <c r="H2" s="300"/>
      <c r="I2" s="300"/>
      <c r="J2" s="300"/>
      <c r="K2" s="300"/>
      <c r="L2" s="300"/>
      <c r="M2" s="300"/>
      <c r="N2" s="300"/>
      <c r="O2" s="300"/>
      <c r="P2" s="305"/>
      <c r="Q2" s="329"/>
      <c r="R2" s="332"/>
      <c r="S2" s="304"/>
      <c r="T2" s="300"/>
      <c r="U2" s="300"/>
      <c r="V2" s="300"/>
      <c r="W2" s="300"/>
      <c r="X2" s="300"/>
      <c r="Y2" s="300"/>
      <c r="Z2" s="300"/>
      <c r="AA2" s="300"/>
      <c r="AB2" s="336"/>
      <c r="AC2" s="299"/>
      <c r="AD2" s="300"/>
      <c r="AE2" s="300"/>
      <c r="AF2" s="300"/>
      <c r="AG2" s="300"/>
      <c r="AH2" s="300"/>
      <c r="AI2" s="300"/>
      <c r="AJ2" s="300"/>
      <c r="AK2" s="300"/>
      <c r="AL2" s="301"/>
      <c r="AM2" s="304"/>
      <c r="AN2" s="300"/>
      <c r="AO2" s="305"/>
      <c r="AP2" s="300"/>
      <c r="AQ2" s="300"/>
      <c r="AR2" s="300"/>
      <c r="AS2" s="300"/>
      <c r="AT2" s="300"/>
      <c r="AU2" s="308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19"/>
      <c r="H3" s="320"/>
      <c r="I3" s="321" t="s">
        <v>77</v>
      </c>
      <c r="J3" s="319"/>
      <c r="K3" s="320"/>
      <c r="L3" s="284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29"/>
      <c r="R3" s="332"/>
      <c r="S3" s="339" t="s">
        <v>24</v>
      </c>
      <c r="T3" s="320"/>
      <c r="U3" s="338" t="s">
        <v>25</v>
      </c>
      <c r="V3" s="320"/>
      <c r="W3" s="338" t="s">
        <v>26</v>
      </c>
      <c r="X3" s="320"/>
      <c r="Y3" s="338" t="s">
        <v>27</v>
      </c>
      <c r="Z3" s="320"/>
      <c r="AA3" s="338" t="s">
        <v>28</v>
      </c>
      <c r="AB3" s="340"/>
      <c r="AC3" s="341" t="s">
        <v>24</v>
      </c>
      <c r="AD3" s="320"/>
      <c r="AE3" s="338" t="s">
        <v>25</v>
      </c>
      <c r="AF3" s="320"/>
      <c r="AG3" s="338" t="s">
        <v>26</v>
      </c>
      <c r="AH3" s="320"/>
      <c r="AI3" s="338" t="s">
        <v>27</v>
      </c>
      <c r="AJ3" s="320"/>
      <c r="AK3" s="338" t="s">
        <v>28</v>
      </c>
      <c r="AL3" s="320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10"/>
      <c r="B4" s="312"/>
      <c r="C4" s="314"/>
      <c r="D4" s="316"/>
      <c r="E4" s="314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285" t="s">
        <v>39</v>
      </c>
      <c r="M4" s="312"/>
      <c r="N4" s="312"/>
      <c r="O4" s="312"/>
      <c r="P4" s="344"/>
      <c r="Q4" s="330"/>
      <c r="R4" s="333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12"/>
      <c r="AO4" s="351"/>
      <c r="AP4" s="346"/>
      <c r="AQ4" s="28" t="s">
        <v>42</v>
      </c>
      <c r="AR4" s="28" t="s">
        <v>43</v>
      </c>
      <c r="AS4" s="28" t="s">
        <v>44</v>
      </c>
      <c r="AT4" s="28" t="s">
        <v>41</v>
      </c>
      <c r="AU4" s="348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ht="8.25" customHeight="1">
      <c r="A5" s="1" t="s">
        <v>132</v>
      </c>
      <c r="B5" s="2">
        <v>6</v>
      </c>
      <c r="C5" s="3" t="s">
        <v>214</v>
      </c>
      <c r="D5" s="138">
        <v>2534</v>
      </c>
      <c r="E5" s="4" t="s">
        <v>85</v>
      </c>
      <c r="F5" s="64">
        <v>125</v>
      </c>
      <c r="G5" s="6" t="s">
        <v>147</v>
      </c>
      <c r="H5" s="110">
        <v>100</v>
      </c>
      <c r="I5" s="7" t="s">
        <v>65</v>
      </c>
      <c r="J5" s="6" t="s">
        <v>65</v>
      </c>
      <c r="K5" s="7" t="s">
        <v>65</v>
      </c>
      <c r="L5" s="126">
        <v>0.8</v>
      </c>
      <c r="M5" s="12" t="s">
        <v>89</v>
      </c>
      <c r="N5" s="12" t="s">
        <v>213</v>
      </c>
      <c r="O5" s="12">
        <v>2300</v>
      </c>
      <c r="P5" s="56" t="s">
        <v>65</v>
      </c>
      <c r="Q5" s="9" t="s">
        <v>91</v>
      </c>
      <c r="R5" s="10" t="s">
        <v>92</v>
      </c>
      <c r="S5" s="119">
        <v>0</v>
      </c>
      <c r="T5" s="116">
        <v>0</v>
      </c>
      <c r="U5" s="116">
        <v>0</v>
      </c>
      <c r="V5" s="116">
        <v>0</v>
      </c>
      <c r="W5" s="116">
        <v>0</v>
      </c>
      <c r="X5" s="117">
        <v>0</v>
      </c>
      <c r="Y5" s="117">
        <v>0</v>
      </c>
      <c r="Z5" s="117">
        <v>0</v>
      </c>
      <c r="AA5" s="117"/>
      <c r="AB5" s="199"/>
      <c r="AC5" s="200">
        <v>0</v>
      </c>
      <c r="AD5" s="117">
        <v>0</v>
      </c>
      <c r="AE5" s="117">
        <v>0</v>
      </c>
      <c r="AF5" s="117">
        <v>0</v>
      </c>
      <c r="AG5" s="117">
        <v>0</v>
      </c>
      <c r="AH5" s="117">
        <v>0</v>
      </c>
      <c r="AI5" s="116">
        <v>0</v>
      </c>
      <c r="AJ5" s="116">
        <v>0</v>
      </c>
      <c r="AK5" s="116"/>
      <c r="AL5" s="118"/>
      <c r="AM5" s="119">
        <v>0</v>
      </c>
      <c r="AN5" s="116">
        <v>22</v>
      </c>
      <c r="AO5" s="114" t="s">
        <v>93</v>
      </c>
      <c r="AP5" s="120" t="s">
        <v>94</v>
      </c>
      <c r="AQ5" s="117" t="s">
        <v>95</v>
      </c>
      <c r="AR5" s="201">
        <v>1000</v>
      </c>
      <c r="AS5" s="202" t="s">
        <v>96</v>
      </c>
      <c r="AT5" s="201">
        <v>0</v>
      </c>
      <c r="AU5" s="203">
        <v>22</v>
      </c>
      <c r="AV5" s="18"/>
      <c r="AW5" s="18">
        <f t="shared" ref="AW5:AW28" si="0">IF(AND($AP5="TC",NOT(ISBLANK($AT5))),$AU5*$AR5,"")</f>
        <v>22000</v>
      </c>
      <c r="AX5" s="18">
        <f t="shared" ref="AX5:AX28" si="1">IF(AND($AP5="TC",NOT(ISBLANK($AT5))),$AU5,"")</f>
        <v>22</v>
      </c>
      <c r="AY5" s="18"/>
      <c r="AZ5" s="18"/>
      <c r="BA5" s="18"/>
      <c r="BB5" s="18"/>
      <c r="BC5" s="18" t="str">
        <f t="shared" ref="BC5:BC28" si="2">IF(AND($AP5="HTS",NOT(ISBLANK($AT5))),$AU5*$AR5,"")</f>
        <v/>
      </c>
      <c r="BD5" s="18" t="str">
        <f t="shared" ref="BD5:BD28" si="3">IF(AND($AP5="HTS",NOT(ISBLANK($AT5))),$AU5,"")</f>
        <v/>
      </c>
      <c r="BE5" s="18"/>
      <c r="BF5" s="18" t="str">
        <f t="shared" ref="BF5:BF28" si="4">IF(AND($AP5="HAST",NOT(ISBLANK($AT5))),$AU5*$AR5,"")</f>
        <v/>
      </c>
      <c r="BG5" s="18" t="str">
        <f t="shared" ref="BG5:BG28" si="5">IF(AND($AP5="HAST",NOT(ISBLANK($AT5))),$AU5,"")</f>
        <v/>
      </c>
      <c r="BH5" s="18"/>
    </row>
    <row r="6" spans="1:60" ht="8.25" customHeight="1">
      <c r="A6" s="1"/>
      <c r="B6" s="2"/>
      <c r="C6" s="3"/>
      <c r="D6" s="138"/>
      <c r="E6" s="4"/>
      <c r="F6" s="64"/>
      <c r="G6" s="6"/>
      <c r="H6" s="110"/>
      <c r="I6" s="7"/>
      <c r="J6" s="6"/>
      <c r="K6" s="7"/>
      <c r="L6" s="126"/>
      <c r="M6" s="12"/>
      <c r="N6" s="12"/>
      <c r="O6" s="2"/>
      <c r="P6" s="56"/>
      <c r="Q6" s="9"/>
      <c r="R6" s="10"/>
      <c r="S6" s="11"/>
      <c r="T6" s="12"/>
      <c r="U6" s="12"/>
      <c r="V6" s="12"/>
      <c r="W6" s="12"/>
      <c r="X6" s="2"/>
      <c r="Y6" s="2"/>
      <c r="Z6" s="2"/>
      <c r="AA6" s="2"/>
      <c r="AB6" s="59"/>
      <c r="AC6" s="62"/>
      <c r="AD6" s="2"/>
      <c r="AE6" s="2"/>
      <c r="AF6" s="2"/>
      <c r="AG6" s="2"/>
      <c r="AH6" s="2"/>
      <c r="AI6" s="12"/>
      <c r="AJ6" s="12"/>
      <c r="AK6" s="12"/>
      <c r="AL6" s="13"/>
      <c r="AM6" s="11"/>
      <c r="AN6" s="12"/>
      <c r="AO6" s="4"/>
      <c r="AP6" s="14"/>
      <c r="AQ6" s="2"/>
      <c r="AR6" s="15"/>
      <c r="AS6" s="16"/>
      <c r="AT6" s="15"/>
      <c r="AU6" s="17"/>
      <c r="AV6" s="18"/>
      <c r="AW6" s="18" t="str">
        <f t="shared" si="0"/>
        <v/>
      </c>
      <c r="AX6" s="18" t="str">
        <f t="shared" si="1"/>
        <v/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ht="8.25" customHeight="1">
      <c r="A7" s="1" t="s">
        <v>132</v>
      </c>
      <c r="B7" s="2">
        <v>43</v>
      </c>
      <c r="C7" s="3" t="s">
        <v>205</v>
      </c>
      <c r="D7" s="138">
        <v>2504</v>
      </c>
      <c r="E7" s="4" t="s">
        <v>85</v>
      </c>
      <c r="F7" s="64">
        <v>128</v>
      </c>
      <c r="G7" s="6" t="s">
        <v>147</v>
      </c>
      <c r="H7" s="110">
        <v>119</v>
      </c>
      <c r="I7" s="7" t="s">
        <v>65</v>
      </c>
      <c r="J7" s="6" t="s">
        <v>65</v>
      </c>
      <c r="K7" s="7" t="s">
        <v>65</v>
      </c>
      <c r="L7" s="126">
        <v>0.8</v>
      </c>
      <c r="M7" s="12" t="s">
        <v>89</v>
      </c>
      <c r="N7" s="12" t="s">
        <v>133</v>
      </c>
      <c r="O7" s="2">
        <v>2300</v>
      </c>
      <c r="P7" s="56" t="s">
        <v>65</v>
      </c>
      <c r="Q7" s="9" t="s">
        <v>91</v>
      </c>
      <c r="R7" s="10" t="s">
        <v>92</v>
      </c>
      <c r="S7" s="11">
        <v>0</v>
      </c>
      <c r="T7" s="12">
        <v>0</v>
      </c>
      <c r="U7" s="12">
        <v>0</v>
      </c>
      <c r="V7" s="12">
        <v>0</v>
      </c>
      <c r="W7" s="12">
        <v>0</v>
      </c>
      <c r="X7" s="2">
        <v>0</v>
      </c>
      <c r="Y7" s="2">
        <v>0</v>
      </c>
      <c r="Z7" s="2">
        <v>0</v>
      </c>
      <c r="AA7" s="2"/>
      <c r="AB7" s="59"/>
      <c r="AC7" s="6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12">
        <v>0</v>
      </c>
      <c r="AJ7" s="12">
        <v>0</v>
      </c>
      <c r="AK7" s="12" t="s">
        <v>57</v>
      </c>
      <c r="AL7" s="13" t="s">
        <v>57</v>
      </c>
      <c r="AM7" s="11">
        <v>0</v>
      </c>
      <c r="AN7" s="12">
        <v>22</v>
      </c>
      <c r="AO7" s="4" t="s">
        <v>93</v>
      </c>
      <c r="AP7" s="14" t="s">
        <v>52</v>
      </c>
      <c r="AQ7" s="2" t="s">
        <v>99</v>
      </c>
      <c r="AR7" s="15">
        <v>1000</v>
      </c>
      <c r="AS7" s="16" t="s">
        <v>100</v>
      </c>
      <c r="AT7" s="15">
        <v>0</v>
      </c>
      <c r="AU7" s="17">
        <v>22</v>
      </c>
      <c r="AV7" s="18"/>
      <c r="AW7" s="18" t="str">
        <f t="shared" si="0"/>
        <v/>
      </c>
      <c r="AX7" s="18" t="str">
        <f t="shared" si="1"/>
        <v/>
      </c>
      <c r="AY7" s="18"/>
      <c r="AZ7" s="18"/>
      <c r="BA7" s="18"/>
      <c r="BB7" s="18"/>
      <c r="BC7" s="18">
        <f t="shared" si="2"/>
        <v>22000</v>
      </c>
      <c r="BD7" s="18">
        <f t="shared" si="3"/>
        <v>22</v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ht="8.25" customHeight="1">
      <c r="A8" s="1" t="s">
        <v>132</v>
      </c>
      <c r="B8" s="2">
        <v>43</v>
      </c>
      <c r="C8" s="3" t="s">
        <v>205</v>
      </c>
      <c r="D8" s="138">
        <v>2508</v>
      </c>
      <c r="E8" s="4" t="s">
        <v>85</v>
      </c>
      <c r="F8" s="64">
        <v>128</v>
      </c>
      <c r="G8" s="6" t="s">
        <v>147</v>
      </c>
      <c r="H8" s="110">
        <v>119</v>
      </c>
      <c r="I8" s="7" t="s">
        <v>65</v>
      </c>
      <c r="J8" s="6" t="s">
        <v>65</v>
      </c>
      <c r="K8" s="7" t="s">
        <v>65</v>
      </c>
      <c r="L8" s="126">
        <v>0.8</v>
      </c>
      <c r="M8" s="12" t="s">
        <v>89</v>
      </c>
      <c r="N8" s="12" t="s">
        <v>133</v>
      </c>
      <c r="O8" s="2">
        <v>2300</v>
      </c>
      <c r="P8" s="56" t="s">
        <v>65</v>
      </c>
      <c r="Q8" s="9" t="s">
        <v>91</v>
      </c>
      <c r="R8" s="10" t="s">
        <v>92</v>
      </c>
      <c r="S8" s="11">
        <v>0</v>
      </c>
      <c r="T8" s="12">
        <v>0</v>
      </c>
      <c r="U8" s="12">
        <v>0</v>
      </c>
      <c r="V8" s="12">
        <v>0</v>
      </c>
      <c r="W8" s="12">
        <v>0</v>
      </c>
      <c r="X8" s="2">
        <v>0</v>
      </c>
      <c r="Y8" s="2">
        <v>0</v>
      </c>
      <c r="Z8" s="2">
        <v>0</v>
      </c>
      <c r="AA8" s="2"/>
      <c r="AB8" s="59"/>
      <c r="AC8" s="6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12">
        <v>0</v>
      </c>
      <c r="AJ8" s="12">
        <v>0</v>
      </c>
      <c r="AK8" s="12" t="s">
        <v>57</v>
      </c>
      <c r="AL8" s="13" t="s">
        <v>57</v>
      </c>
      <c r="AM8" s="11">
        <v>0</v>
      </c>
      <c r="AN8" s="12">
        <v>22</v>
      </c>
      <c r="AO8" s="4" t="s">
        <v>93</v>
      </c>
      <c r="AP8" s="14" t="s">
        <v>94</v>
      </c>
      <c r="AQ8" s="2" t="s">
        <v>95</v>
      </c>
      <c r="AR8" s="15">
        <v>1000</v>
      </c>
      <c r="AS8" s="16" t="s">
        <v>96</v>
      </c>
      <c r="AT8" s="15">
        <v>0</v>
      </c>
      <c r="AU8" s="17">
        <v>22</v>
      </c>
      <c r="AV8" s="18"/>
      <c r="AW8" s="18">
        <f t="shared" si="0"/>
        <v>22000</v>
      </c>
      <c r="AX8" s="18">
        <f t="shared" si="1"/>
        <v>22</v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 t="str">
        <f t="shared" si="4"/>
        <v/>
      </c>
      <c r="BG8" s="18" t="str">
        <f t="shared" si="5"/>
        <v/>
      </c>
      <c r="BH8" s="18"/>
    </row>
    <row r="9" spans="1:60" ht="8.25" customHeight="1">
      <c r="A9" s="1" t="s">
        <v>132</v>
      </c>
      <c r="B9" s="2">
        <v>43</v>
      </c>
      <c r="C9" s="3" t="s">
        <v>205</v>
      </c>
      <c r="D9" s="138">
        <v>2517</v>
      </c>
      <c r="E9" s="4" t="s">
        <v>85</v>
      </c>
      <c r="F9" s="64">
        <v>128</v>
      </c>
      <c r="G9" s="6" t="s">
        <v>147</v>
      </c>
      <c r="H9" s="110">
        <v>119</v>
      </c>
      <c r="I9" s="7" t="s">
        <v>65</v>
      </c>
      <c r="J9" s="6" t="s">
        <v>65</v>
      </c>
      <c r="K9" s="7" t="s">
        <v>65</v>
      </c>
      <c r="L9" s="126">
        <v>0.8</v>
      </c>
      <c r="M9" s="12" t="s">
        <v>89</v>
      </c>
      <c r="N9" s="12" t="s">
        <v>133</v>
      </c>
      <c r="O9" s="2">
        <v>2300</v>
      </c>
      <c r="P9" s="56" t="s">
        <v>65</v>
      </c>
      <c r="Q9" s="9" t="s">
        <v>91</v>
      </c>
      <c r="R9" s="10" t="s">
        <v>92</v>
      </c>
      <c r="S9" s="11">
        <v>0</v>
      </c>
      <c r="T9" s="12">
        <v>0</v>
      </c>
      <c r="U9" s="12">
        <v>0</v>
      </c>
      <c r="V9" s="12">
        <v>0</v>
      </c>
      <c r="W9" s="12">
        <v>0</v>
      </c>
      <c r="X9" s="2">
        <v>0</v>
      </c>
      <c r="Y9" s="2">
        <v>0</v>
      </c>
      <c r="Z9" s="2">
        <v>0</v>
      </c>
      <c r="AA9" s="2"/>
      <c r="AB9" s="59"/>
      <c r="AC9" s="6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12">
        <v>0</v>
      </c>
      <c r="AJ9" s="12">
        <v>0</v>
      </c>
      <c r="AK9" s="12" t="s">
        <v>57</v>
      </c>
      <c r="AL9" s="13" t="s">
        <v>57</v>
      </c>
      <c r="AM9" s="11">
        <v>0</v>
      </c>
      <c r="AN9" s="12">
        <v>22</v>
      </c>
      <c r="AO9" s="4" t="s">
        <v>93</v>
      </c>
      <c r="AP9" s="14" t="s">
        <v>52</v>
      </c>
      <c r="AQ9" s="2" t="s">
        <v>99</v>
      </c>
      <c r="AR9" s="15">
        <v>1000</v>
      </c>
      <c r="AS9" s="16" t="s">
        <v>100</v>
      </c>
      <c r="AT9" s="15">
        <v>0</v>
      </c>
      <c r="AU9" s="17">
        <v>22</v>
      </c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>
        <f t="shared" si="2"/>
        <v>22000</v>
      </c>
      <c r="BD9" s="18">
        <f t="shared" si="3"/>
        <v>22</v>
      </c>
      <c r="BE9" s="18"/>
      <c r="BF9" s="18" t="str">
        <f t="shared" si="4"/>
        <v/>
      </c>
      <c r="BG9" s="18" t="str">
        <f t="shared" si="5"/>
        <v/>
      </c>
      <c r="BH9" s="18"/>
    </row>
    <row r="10" spans="1:60" ht="8.25" customHeight="1">
      <c r="A10" s="1" t="s">
        <v>132</v>
      </c>
      <c r="B10" s="2">
        <v>43</v>
      </c>
      <c r="C10" s="3" t="s">
        <v>205</v>
      </c>
      <c r="D10" s="138">
        <v>2521</v>
      </c>
      <c r="E10" s="4" t="s">
        <v>85</v>
      </c>
      <c r="F10" s="64">
        <v>128</v>
      </c>
      <c r="G10" s="6" t="s">
        <v>147</v>
      </c>
      <c r="H10" s="110">
        <v>119</v>
      </c>
      <c r="I10" s="7" t="s">
        <v>65</v>
      </c>
      <c r="J10" s="6" t="s">
        <v>65</v>
      </c>
      <c r="K10" s="7" t="s">
        <v>65</v>
      </c>
      <c r="L10" s="126">
        <v>0.8</v>
      </c>
      <c r="M10" s="12" t="s">
        <v>89</v>
      </c>
      <c r="N10" s="12" t="s">
        <v>133</v>
      </c>
      <c r="O10" s="2">
        <v>2300</v>
      </c>
      <c r="P10" s="56" t="s">
        <v>65</v>
      </c>
      <c r="Q10" s="9" t="s">
        <v>91</v>
      </c>
      <c r="R10" s="10" t="s">
        <v>92</v>
      </c>
      <c r="S10" s="11">
        <v>0</v>
      </c>
      <c r="T10" s="12">
        <v>0</v>
      </c>
      <c r="U10" s="12">
        <v>0</v>
      </c>
      <c r="V10" s="12">
        <v>0</v>
      </c>
      <c r="W10" s="12">
        <v>0</v>
      </c>
      <c r="X10" s="2">
        <v>0</v>
      </c>
      <c r="Y10" s="2">
        <v>0</v>
      </c>
      <c r="Z10" s="2">
        <v>0</v>
      </c>
      <c r="AA10" s="2"/>
      <c r="AB10" s="59"/>
      <c r="AC10" s="6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12">
        <v>0</v>
      </c>
      <c r="AJ10" s="12">
        <v>0</v>
      </c>
      <c r="AK10" s="12" t="s">
        <v>57</v>
      </c>
      <c r="AL10" s="13" t="s">
        <v>57</v>
      </c>
      <c r="AM10" s="11">
        <v>0</v>
      </c>
      <c r="AN10" s="12">
        <v>22</v>
      </c>
      <c r="AO10" s="4" t="s">
        <v>93</v>
      </c>
      <c r="AP10" s="14" t="s">
        <v>94</v>
      </c>
      <c r="AQ10" s="2" t="s">
        <v>95</v>
      </c>
      <c r="AR10" s="15">
        <v>1000</v>
      </c>
      <c r="AS10" s="16" t="s">
        <v>96</v>
      </c>
      <c r="AT10" s="15">
        <v>0</v>
      </c>
      <c r="AU10" s="17">
        <v>22</v>
      </c>
      <c r="AV10" s="18"/>
      <c r="AW10" s="18">
        <f t="shared" si="0"/>
        <v>22000</v>
      </c>
      <c r="AX10" s="18">
        <f t="shared" si="1"/>
        <v>22</v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ht="8.25" customHeight="1">
      <c r="A11" s="1" t="s">
        <v>132</v>
      </c>
      <c r="B11" s="2">
        <v>43</v>
      </c>
      <c r="C11" s="3" t="s">
        <v>205</v>
      </c>
      <c r="D11" s="138">
        <v>2526</v>
      </c>
      <c r="E11" s="4" t="s">
        <v>85</v>
      </c>
      <c r="F11" s="64">
        <v>128</v>
      </c>
      <c r="G11" s="6" t="s">
        <v>147</v>
      </c>
      <c r="H11" s="110">
        <v>119</v>
      </c>
      <c r="I11" s="7" t="s">
        <v>65</v>
      </c>
      <c r="J11" s="6" t="s">
        <v>65</v>
      </c>
      <c r="K11" s="7" t="s">
        <v>65</v>
      </c>
      <c r="L11" s="126">
        <v>0.8</v>
      </c>
      <c r="M11" s="12" t="s">
        <v>89</v>
      </c>
      <c r="N11" s="12" t="s">
        <v>133</v>
      </c>
      <c r="O11" s="2">
        <v>2300</v>
      </c>
      <c r="P11" s="56" t="s">
        <v>65</v>
      </c>
      <c r="Q11" s="9" t="s">
        <v>91</v>
      </c>
      <c r="R11" s="10" t="s">
        <v>92</v>
      </c>
      <c r="S11" s="119">
        <v>0</v>
      </c>
      <c r="T11" s="116">
        <v>0</v>
      </c>
      <c r="U11" s="116">
        <v>0</v>
      </c>
      <c r="V11" s="116">
        <v>0</v>
      </c>
      <c r="W11" s="116">
        <v>0</v>
      </c>
      <c r="X11" s="117">
        <v>0</v>
      </c>
      <c r="Y11" s="117">
        <v>0</v>
      </c>
      <c r="Z11" s="117">
        <v>0</v>
      </c>
      <c r="AA11" s="117"/>
      <c r="AB11" s="199"/>
      <c r="AC11" s="200">
        <v>0</v>
      </c>
      <c r="AD11" s="117">
        <v>0</v>
      </c>
      <c r="AE11" s="117">
        <v>0</v>
      </c>
      <c r="AF11" s="117">
        <v>0</v>
      </c>
      <c r="AG11" s="117">
        <v>0</v>
      </c>
      <c r="AH11" s="117">
        <v>0</v>
      </c>
      <c r="AI11" s="116">
        <v>0</v>
      </c>
      <c r="AJ11" s="116">
        <v>0</v>
      </c>
      <c r="AK11" s="116"/>
      <c r="AL11" s="118"/>
      <c r="AM11" s="119">
        <v>0</v>
      </c>
      <c r="AN11" s="116">
        <v>22</v>
      </c>
      <c r="AO11" s="114" t="s">
        <v>93</v>
      </c>
      <c r="AP11" s="120" t="s">
        <v>58</v>
      </c>
      <c r="AQ11" s="117" t="s">
        <v>226</v>
      </c>
      <c r="AR11" s="201">
        <v>96</v>
      </c>
      <c r="AS11" s="202" t="s">
        <v>100</v>
      </c>
      <c r="AT11" s="201">
        <v>0</v>
      </c>
      <c r="AU11" s="203">
        <v>22</v>
      </c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>
        <f t="shared" si="4"/>
        <v>2112</v>
      </c>
      <c r="BG11" s="18">
        <f t="shared" si="5"/>
        <v>22</v>
      </c>
      <c r="BH11" s="18"/>
    </row>
    <row r="12" spans="1:60" ht="8.25" customHeight="1">
      <c r="A12" s="1" t="s">
        <v>132</v>
      </c>
      <c r="B12" s="2">
        <v>43</v>
      </c>
      <c r="C12" s="3" t="s">
        <v>205</v>
      </c>
      <c r="D12" s="138">
        <v>2530</v>
      </c>
      <c r="E12" s="4" t="s">
        <v>85</v>
      </c>
      <c r="F12" s="64">
        <v>128</v>
      </c>
      <c r="G12" s="6" t="s">
        <v>147</v>
      </c>
      <c r="H12" s="110">
        <v>119</v>
      </c>
      <c r="I12" s="7" t="s">
        <v>65</v>
      </c>
      <c r="J12" s="6" t="s">
        <v>65</v>
      </c>
      <c r="K12" s="7" t="s">
        <v>65</v>
      </c>
      <c r="L12" s="126">
        <v>0.8</v>
      </c>
      <c r="M12" s="12" t="s">
        <v>89</v>
      </c>
      <c r="N12" s="12" t="s">
        <v>133</v>
      </c>
      <c r="O12" s="2">
        <v>2300</v>
      </c>
      <c r="P12" s="56" t="s">
        <v>65</v>
      </c>
      <c r="Q12" s="9" t="s">
        <v>91</v>
      </c>
      <c r="R12" s="10" t="s">
        <v>92</v>
      </c>
      <c r="S12" s="119">
        <v>0</v>
      </c>
      <c r="T12" s="116">
        <v>0</v>
      </c>
      <c r="U12" s="116">
        <v>0</v>
      </c>
      <c r="V12" s="116">
        <v>0</v>
      </c>
      <c r="W12" s="116">
        <v>0</v>
      </c>
      <c r="X12" s="117">
        <v>0</v>
      </c>
      <c r="Y12" s="117">
        <v>0</v>
      </c>
      <c r="Z12" s="117">
        <v>0</v>
      </c>
      <c r="AA12" s="117"/>
      <c r="AB12" s="199"/>
      <c r="AC12" s="200">
        <v>0</v>
      </c>
      <c r="AD12" s="117">
        <v>0</v>
      </c>
      <c r="AE12" s="117">
        <v>0</v>
      </c>
      <c r="AF12" s="117">
        <v>0</v>
      </c>
      <c r="AG12" s="117">
        <v>0</v>
      </c>
      <c r="AH12" s="117">
        <v>0</v>
      </c>
      <c r="AI12" s="116">
        <v>0</v>
      </c>
      <c r="AJ12" s="116">
        <v>0</v>
      </c>
      <c r="AK12" s="116"/>
      <c r="AL12" s="118"/>
      <c r="AM12" s="119">
        <v>0</v>
      </c>
      <c r="AN12" s="116">
        <v>22</v>
      </c>
      <c r="AO12" s="114" t="s">
        <v>93</v>
      </c>
      <c r="AP12" s="120" t="s">
        <v>52</v>
      </c>
      <c r="AQ12" s="117" t="s">
        <v>99</v>
      </c>
      <c r="AR12" s="201">
        <v>1000</v>
      </c>
      <c r="AS12" s="202" t="s">
        <v>100</v>
      </c>
      <c r="AT12" s="201">
        <v>0</v>
      </c>
      <c r="AU12" s="203">
        <v>22</v>
      </c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>
        <f t="shared" si="2"/>
        <v>22000</v>
      </c>
      <c r="BD12" s="18">
        <f t="shared" si="3"/>
        <v>22</v>
      </c>
      <c r="BE12" s="18"/>
      <c r="BF12" s="18" t="str">
        <f t="shared" si="4"/>
        <v/>
      </c>
      <c r="BG12" s="18" t="str">
        <f t="shared" si="5"/>
        <v/>
      </c>
      <c r="BH12" s="18"/>
    </row>
    <row r="13" spans="1:60" ht="8.25" customHeight="1">
      <c r="A13" s="122" t="s">
        <v>132</v>
      </c>
      <c r="B13" s="117">
        <v>43</v>
      </c>
      <c r="C13" s="125" t="s">
        <v>205</v>
      </c>
      <c r="D13" s="209">
        <v>2539</v>
      </c>
      <c r="E13" s="114" t="s">
        <v>85</v>
      </c>
      <c r="F13" s="210">
        <v>128</v>
      </c>
      <c r="G13" s="175" t="s">
        <v>147</v>
      </c>
      <c r="H13" s="176">
        <v>119</v>
      </c>
      <c r="I13" s="177" t="s">
        <v>65</v>
      </c>
      <c r="J13" s="175" t="s">
        <v>65</v>
      </c>
      <c r="K13" s="177" t="s">
        <v>65</v>
      </c>
      <c r="L13" s="180">
        <v>0.8</v>
      </c>
      <c r="M13" s="116" t="s">
        <v>89</v>
      </c>
      <c r="N13" s="116" t="s">
        <v>133</v>
      </c>
      <c r="O13" s="117">
        <v>2300</v>
      </c>
      <c r="P13" s="179" t="s">
        <v>65</v>
      </c>
      <c r="Q13" s="123" t="s">
        <v>91</v>
      </c>
      <c r="R13" s="124" t="s">
        <v>92</v>
      </c>
      <c r="S13" s="119">
        <v>0</v>
      </c>
      <c r="T13" s="116">
        <v>0</v>
      </c>
      <c r="U13" s="116">
        <v>0</v>
      </c>
      <c r="V13" s="116">
        <v>0</v>
      </c>
      <c r="W13" s="116">
        <v>0</v>
      </c>
      <c r="X13" s="117">
        <v>0</v>
      </c>
      <c r="Y13" s="117">
        <v>0</v>
      </c>
      <c r="Z13" s="117">
        <v>0</v>
      </c>
      <c r="AA13" s="117"/>
      <c r="AB13" s="199"/>
      <c r="AC13" s="200">
        <v>0</v>
      </c>
      <c r="AD13" s="117">
        <v>0</v>
      </c>
      <c r="AE13" s="117">
        <v>0</v>
      </c>
      <c r="AF13" s="117">
        <v>0</v>
      </c>
      <c r="AG13" s="117">
        <v>0</v>
      </c>
      <c r="AH13" s="117">
        <v>0</v>
      </c>
      <c r="AI13" s="116">
        <v>0</v>
      </c>
      <c r="AJ13" s="116">
        <v>0</v>
      </c>
      <c r="AK13" s="116"/>
      <c r="AL13" s="118"/>
      <c r="AM13" s="119">
        <v>0</v>
      </c>
      <c r="AN13" s="116">
        <v>22</v>
      </c>
      <c r="AO13" s="114" t="s">
        <v>93</v>
      </c>
      <c r="AP13" s="120" t="s">
        <v>58</v>
      </c>
      <c r="AQ13" s="117" t="s">
        <v>226</v>
      </c>
      <c r="AR13" s="201">
        <v>96</v>
      </c>
      <c r="AS13" s="202" t="s">
        <v>100</v>
      </c>
      <c r="AT13" s="201">
        <v>0</v>
      </c>
      <c r="AU13" s="203">
        <v>22</v>
      </c>
      <c r="AV13" s="18"/>
      <c r="AW13" s="18" t="str">
        <f t="shared" si="0"/>
        <v/>
      </c>
      <c r="AX13" s="18" t="str">
        <f t="shared" si="1"/>
        <v/>
      </c>
      <c r="AY13" s="18"/>
      <c r="AZ13" s="18"/>
      <c r="BA13" s="18"/>
      <c r="BB13" s="18"/>
      <c r="BC13" s="18" t="str">
        <f t="shared" si="2"/>
        <v/>
      </c>
      <c r="BD13" s="18" t="str">
        <f t="shared" si="3"/>
        <v/>
      </c>
      <c r="BE13" s="18"/>
      <c r="BF13" s="18">
        <f t="shared" si="4"/>
        <v>2112</v>
      </c>
      <c r="BG13" s="18">
        <f t="shared" si="5"/>
        <v>22</v>
      </c>
      <c r="BH13" s="18"/>
    </row>
    <row r="14" spans="1:60" ht="8.25" customHeight="1">
      <c r="A14" s="122" t="s">
        <v>132</v>
      </c>
      <c r="B14" s="117">
        <v>43</v>
      </c>
      <c r="C14" s="125" t="s">
        <v>205</v>
      </c>
      <c r="D14" s="209">
        <v>2543</v>
      </c>
      <c r="E14" s="114" t="s">
        <v>85</v>
      </c>
      <c r="F14" s="210">
        <v>128</v>
      </c>
      <c r="G14" s="175" t="s">
        <v>147</v>
      </c>
      <c r="H14" s="176">
        <v>119</v>
      </c>
      <c r="I14" s="177" t="s">
        <v>65</v>
      </c>
      <c r="J14" s="175" t="s">
        <v>65</v>
      </c>
      <c r="K14" s="177" t="s">
        <v>65</v>
      </c>
      <c r="L14" s="180">
        <v>0.8</v>
      </c>
      <c r="M14" s="116" t="s">
        <v>89</v>
      </c>
      <c r="N14" s="116" t="s">
        <v>133</v>
      </c>
      <c r="O14" s="117">
        <v>2300</v>
      </c>
      <c r="P14" s="179" t="s">
        <v>65</v>
      </c>
      <c r="Q14" s="123" t="s">
        <v>91</v>
      </c>
      <c r="R14" s="124" t="s">
        <v>92</v>
      </c>
      <c r="S14" s="119">
        <v>0</v>
      </c>
      <c r="T14" s="116">
        <v>0</v>
      </c>
      <c r="U14" s="116">
        <v>0</v>
      </c>
      <c r="V14" s="116">
        <v>0</v>
      </c>
      <c r="W14" s="116">
        <v>0</v>
      </c>
      <c r="X14" s="117">
        <v>0</v>
      </c>
      <c r="Y14" s="117">
        <v>0</v>
      </c>
      <c r="Z14" s="117">
        <v>0</v>
      </c>
      <c r="AA14" s="117"/>
      <c r="AB14" s="199"/>
      <c r="AC14" s="200">
        <v>0</v>
      </c>
      <c r="AD14" s="117">
        <v>0</v>
      </c>
      <c r="AE14" s="117">
        <v>0</v>
      </c>
      <c r="AF14" s="117">
        <v>0</v>
      </c>
      <c r="AG14" s="117">
        <v>0</v>
      </c>
      <c r="AH14" s="117">
        <v>0</v>
      </c>
      <c r="AI14" s="116">
        <v>0</v>
      </c>
      <c r="AJ14" s="116">
        <v>0</v>
      </c>
      <c r="AK14" s="116"/>
      <c r="AL14" s="118"/>
      <c r="AM14" s="119">
        <v>0</v>
      </c>
      <c r="AN14" s="116">
        <v>22</v>
      </c>
      <c r="AO14" s="114" t="s">
        <v>93</v>
      </c>
      <c r="AP14" s="120" t="s">
        <v>52</v>
      </c>
      <c r="AQ14" s="117" t="s">
        <v>155</v>
      </c>
      <c r="AR14" s="201"/>
      <c r="AS14" s="202"/>
      <c r="AT14" s="201"/>
      <c r="AU14" s="203"/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 t="str">
        <f t="shared" si="4"/>
        <v/>
      </c>
      <c r="BG14" s="18" t="str">
        <f t="shared" si="5"/>
        <v/>
      </c>
      <c r="BH14" s="18"/>
    </row>
    <row r="15" spans="1:60" ht="8.25" customHeight="1">
      <c r="A15" s="122" t="s">
        <v>132</v>
      </c>
      <c r="B15" s="117">
        <v>43</v>
      </c>
      <c r="C15" s="125" t="s">
        <v>205</v>
      </c>
      <c r="D15" s="209">
        <v>2547</v>
      </c>
      <c r="E15" s="114" t="s">
        <v>85</v>
      </c>
      <c r="F15" s="210">
        <v>128</v>
      </c>
      <c r="G15" s="175" t="s">
        <v>147</v>
      </c>
      <c r="H15" s="176">
        <v>119</v>
      </c>
      <c r="I15" s="177" t="s">
        <v>65</v>
      </c>
      <c r="J15" s="175" t="s">
        <v>65</v>
      </c>
      <c r="K15" s="177" t="s">
        <v>65</v>
      </c>
      <c r="L15" s="180">
        <v>0.8</v>
      </c>
      <c r="M15" s="116" t="s">
        <v>89</v>
      </c>
      <c r="N15" s="116" t="s">
        <v>133</v>
      </c>
      <c r="O15" s="117">
        <v>2300</v>
      </c>
      <c r="P15" s="179" t="s">
        <v>65</v>
      </c>
      <c r="Q15" s="123" t="s">
        <v>91</v>
      </c>
      <c r="R15" s="124" t="s">
        <v>92</v>
      </c>
      <c r="S15" s="119" t="s">
        <v>57</v>
      </c>
      <c r="T15" s="116" t="s">
        <v>57</v>
      </c>
      <c r="U15" s="116" t="s">
        <v>57</v>
      </c>
      <c r="V15" s="116" t="s">
        <v>57</v>
      </c>
      <c r="W15" s="116" t="s">
        <v>57</v>
      </c>
      <c r="X15" s="117" t="s">
        <v>57</v>
      </c>
      <c r="Y15" s="117" t="s">
        <v>57</v>
      </c>
      <c r="Z15" s="117" t="s">
        <v>57</v>
      </c>
      <c r="AA15" s="117" t="s">
        <v>57</v>
      </c>
      <c r="AB15" s="199" t="s">
        <v>57</v>
      </c>
      <c r="AC15" s="200" t="s">
        <v>57</v>
      </c>
      <c r="AD15" s="117" t="s">
        <v>57</v>
      </c>
      <c r="AE15" s="117" t="s">
        <v>57</v>
      </c>
      <c r="AF15" s="117" t="s">
        <v>57</v>
      </c>
      <c r="AG15" s="117" t="s">
        <v>57</v>
      </c>
      <c r="AH15" s="117" t="s">
        <v>57</v>
      </c>
      <c r="AI15" s="116" t="s">
        <v>57</v>
      </c>
      <c r="AJ15" s="116" t="s">
        <v>57</v>
      </c>
      <c r="AK15" s="116" t="s">
        <v>57</v>
      </c>
      <c r="AL15" s="118" t="s">
        <v>57</v>
      </c>
      <c r="AM15" s="119" t="s">
        <v>57</v>
      </c>
      <c r="AN15" s="116" t="s">
        <v>57</v>
      </c>
      <c r="AO15" s="114" t="s">
        <v>155</v>
      </c>
      <c r="AP15" s="120"/>
      <c r="AQ15" s="117"/>
      <c r="AR15" s="201"/>
      <c r="AS15" s="202"/>
      <c r="AT15" s="201"/>
      <c r="AU15" s="203"/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 t="str">
        <f t="shared" si="2"/>
        <v/>
      </c>
      <c r="BD15" s="18" t="str">
        <f t="shared" si="3"/>
        <v/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ht="8.25" customHeight="1">
      <c r="A16" s="1"/>
      <c r="B16" s="2"/>
      <c r="C16" s="3"/>
      <c r="D16" s="138"/>
      <c r="E16" s="4"/>
      <c r="F16" s="5"/>
      <c r="G16" s="6"/>
      <c r="H16" s="7"/>
      <c r="I16" s="7"/>
      <c r="J16" s="6"/>
      <c r="K16" s="7"/>
      <c r="L16" s="69"/>
      <c r="M16" s="12"/>
      <c r="N16" s="12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 t="str">
        <f t="shared" si="4"/>
        <v/>
      </c>
      <c r="BG16" s="18" t="str">
        <f t="shared" si="5"/>
        <v/>
      </c>
      <c r="BH16" s="18"/>
    </row>
    <row r="17" spans="1:60" ht="8.25" customHeight="1">
      <c r="A17" s="1"/>
      <c r="B17" s="2"/>
      <c r="C17" s="3"/>
      <c r="D17" s="138"/>
      <c r="E17" s="4"/>
      <c r="F17" s="5"/>
      <c r="G17" s="6"/>
      <c r="H17" s="7"/>
      <c r="I17" s="7"/>
      <c r="J17" s="6"/>
      <c r="K17" s="7"/>
      <c r="L17" s="69"/>
      <c r="M17" s="12"/>
      <c r="N17" s="12"/>
      <c r="O17" s="2"/>
      <c r="P17" s="56"/>
      <c r="Q17" s="9"/>
      <c r="R17" s="10"/>
      <c r="S17" s="11"/>
      <c r="T17" s="12"/>
      <c r="U17" s="12"/>
      <c r="V17" s="12"/>
      <c r="W17" s="12"/>
      <c r="X17" s="2"/>
      <c r="Y17" s="2"/>
      <c r="Z17" s="2"/>
      <c r="AA17" s="2"/>
      <c r="AB17" s="59"/>
      <c r="AC17" s="62"/>
      <c r="AD17" s="2"/>
      <c r="AE17" s="2"/>
      <c r="AF17" s="2"/>
      <c r="AG17" s="2"/>
      <c r="AH17" s="2"/>
      <c r="AI17" s="12"/>
      <c r="AJ17" s="12"/>
      <c r="AK17" s="12"/>
      <c r="AL17" s="13"/>
      <c r="AM17" s="11"/>
      <c r="AN17" s="12"/>
      <c r="AO17" s="4"/>
      <c r="AP17" s="14"/>
      <c r="AQ17" s="2"/>
      <c r="AR17" s="15"/>
      <c r="AS17" s="16"/>
      <c r="AT17" s="15"/>
      <c r="AU17" s="17"/>
      <c r="AV17" s="18"/>
      <c r="AW17" s="18" t="str">
        <f t="shared" si="0"/>
        <v/>
      </c>
      <c r="AX17" s="18" t="str">
        <f t="shared" si="1"/>
        <v/>
      </c>
      <c r="AY17" s="18"/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ht="8.25" customHeight="1">
      <c r="A18" s="1"/>
      <c r="B18" s="2"/>
      <c r="C18" s="3"/>
      <c r="D18" s="138"/>
      <c r="E18" s="4"/>
      <c r="F18" s="5"/>
      <c r="G18" s="6"/>
      <c r="H18" s="7"/>
      <c r="I18" s="7"/>
      <c r="J18" s="6"/>
      <c r="K18" s="7"/>
      <c r="L18" s="69"/>
      <c r="M18" s="12"/>
      <c r="N18" s="12"/>
      <c r="O18" s="2"/>
      <c r="P18" s="56"/>
      <c r="Q18" s="9"/>
      <c r="R18" s="10"/>
      <c r="S18" s="11"/>
      <c r="T18" s="12"/>
      <c r="U18" s="12"/>
      <c r="V18" s="12"/>
      <c r="W18" s="12"/>
      <c r="X18" s="2"/>
      <c r="Y18" s="2"/>
      <c r="Z18" s="2"/>
      <c r="AA18" s="2"/>
      <c r="AB18" s="59"/>
      <c r="AC18" s="62"/>
      <c r="AD18" s="2"/>
      <c r="AE18" s="2"/>
      <c r="AF18" s="2"/>
      <c r="AG18" s="2"/>
      <c r="AH18" s="2"/>
      <c r="AI18" s="12"/>
      <c r="AJ18" s="12"/>
      <c r="AK18" s="12"/>
      <c r="AL18" s="13"/>
      <c r="AM18" s="11"/>
      <c r="AN18" s="12"/>
      <c r="AO18" s="4"/>
      <c r="AP18" s="14"/>
      <c r="AQ18" s="2"/>
      <c r="AR18" s="15"/>
      <c r="AS18" s="16"/>
      <c r="AT18" s="15"/>
      <c r="AU18" s="17"/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 t="str">
        <f t="shared" si="4"/>
        <v/>
      </c>
      <c r="BG18" s="18" t="str">
        <f t="shared" si="5"/>
        <v/>
      </c>
      <c r="BH18" s="18"/>
    </row>
    <row r="19" spans="1:60" ht="8.25" customHeight="1">
      <c r="A19" s="1"/>
      <c r="B19" s="2"/>
      <c r="C19" s="3"/>
      <c r="D19" s="138"/>
      <c r="E19" s="4"/>
      <c r="F19" s="5"/>
      <c r="G19" s="6"/>
      <c r="H19" s="7"/>
      <c r="I19" s="7"/>
      <c r="J19" s="6"/>
      <c r="K19" s="7"/>
      <c r="L19" s="69"/>
      <c r="M19" s="12"/>
      <c r="N19" s="12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5"/>
      <c r="AS19" s="16"/>
      <c r="AT19" s="15"/>
      <c r="AU19" s="17"/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ht="8.25" customHeight="1">
      <c r="A20" s="1"/>
      <c r="B20" s="2"/>
      <c r="C20" s="3"/>
      <c r="D20" s="138"/>
      <c r="E20" s="4"/>
      <c r="F20" s="5"/>
      <c r="G20" s="6"/>
      <c r="H20" s="7"/>
      <c r="I20" s="7"/>
      <c r="J20" s="6"/>
      <c r="K20" s="7"/>
      <c r="L20" s="69"/>
      <c r="M20" s="12"/>
      <c r="N20" s="12" t="s">
        <v>158</v>
      </c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 t="str">
        <f t="shared" si="4"/>
        <v/>
      </c>
      <c r="BG20" s="18" t="str">
        <f t="shared" si="5"/>
        <v/>
      </c>
      <c r="BH20" s="18"/>
    </row>
    <row r="21" spans="1:60" ht="8.25" customHeight="1">
      <c r="A21" s="1"/>
      <c r="B21" s="2"/>
      <c r="C21" s="3"/>
      <c r="D21" s="138"/>
      <c r="E21" s="4"/>
      <c r="F21" s="5"/>
      <c r="G21" s="6"/>
      <c r="H21" s="7"/>
      <c r="I21" s="7"/>
      <c r="J21" s="6"/>
      <c r="K21" s="7"/>
      <c r="L21" s="69"/>
      <c r="M21" s="12"/>
      <c r="N21" s="12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5"/>
      <c r="AS21" s="16"/>
      <c r="AT21" s="15"/>
      <c r="AU21" s="17"/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ht="8.25" customHeight="1">
      <c r="A22" s="1"/>
      <c r="B22" s="2"/>
      <c r="C22" s="3"/>
      <c r="D22" s="138"/>
      <c r="E22" s="4"/>
      <c r="F22" s="5"/>
      <c r="G22" s="6"/>
      <c r="H22" s="7"/>
      <c r="I22" s="7"/>
      <c r="J22" s="6"/>
      <c r="K22" s="7"/>
      <c r="L22" s="69"/>
      <c r="M22" s="12"/>
      <c r="N22" s="12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5"/>
      <c r="AS22" s="16"/>
      <c r="AT22" s="15"/>
      <c r="AU22" s="17"/>
      <c r="AV22" s="18"/>
      <c r="AW22" s="18" t="str">
        <f t="shared" si="0"/>
        <v/>
      </c>
      <c r="AX22" s="18" t="str">
        <f t="shared" si="1"/>
        <v/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ht="8.25" customHeight="1">
      <c r="A23" s="1"/>
      <c r="B23" s="2"/>
      <c r="C23" s="3"/>
      <c r="D23" s="138"/>
      <c r="E23" s="4"/>
      <c r="F23" s="5"/>
      <c r="G23" s="6"/>
      <c r="H23" s="7"/>
      <c r="I23" s="7"/>
      <c r="J23" s="6"/>
      <c r="K23" s="7"/>
      <c r="L23" s="69"/>
      <c r="M23" s="12"/>
      <c r="N23" s="12" t="s">
        <v>158</v>
      </c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5"/>
      <c r="AS23" s="16"/>
      <c r="AT23" s="15"/>
      <c r="AU23" s="17"/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 t="str">
        <f t="shared" si="4"/>
        <v/>
      </c>
      <c r="BG23" s="18" t="str">
        <f t="shared" si="5"/>
        <v/>
      </c>
      <c r="BH23" s="18"/>
    </row>
    <row r="24" spans="1:60" ht="8.25" customHeight="1">
      <c r="A24" s="1"/>
      <c r="B24" s="2"/>
      <c r="C24" s="3"/>
      <c r="D24" s="138"/>
      <c r="E24" s="4"/>
      <c r="F24" s="5"/>
      <c r="G24" s="6"/>
      <c r="H24" s="7"/>
      <c r="I24" s="7"/>
      <c r="J24" s="6"/>
      <c r="K24" s="7"/>
      <c r="L24" s="69"/>
      <c r="M24" s="12"/>
      <c r="N24" s="12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ht="8.25" customHeight="1">
      <c r="A25" s="1"/>
      <c r="B25" s="2"/>
      <c r="C25" s="3"/>
      <c r="D25" s="138"/>
      <c r="E25" s="4"/>
      <c r="F25" s="5"/>
      <c r="G25" s="6"/>
      <c r="H25" s="7"/>
      <c r="I25" s="7"/>
      <c r="J25" s="6"/>
      <c r="K25" s="7"/>
      <c r="L25" s="69"/>
      <c r="M25" s="12"/>
      <c r="N25" s="12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5"/>
      <c r="AS25" s="16"/>
      <c r="AT25" s="15"/>
      <c r="AU25" s="17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ht="8.25" customHeight="1">
      <c r="A26" s="1"/>
      <c r="B26" s="2"/>
      <c r="C26" s="3"/>
      <c r="D26" s="138"/>
      <c r="E26" s="4"/>
      <c r="F26" s="5"/>
      <c r="G26" s="6"/>
      <c r="H26" s="7"/>
      <c r="I26" s="7"/>
      <c r="J26" s="6"/>
      <c r="K26" s="7"/>
      <c r="L26" s="69"/>
      <c r="M26" s="12"/>
      <c r="N26" s="12" t="s">
        <v>158</v>
      </c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ht="8.25" customHeight="1">
      <c r="A27" s="1"/>
      <c r="B27" s="2"/>
      <c r="C27" s="3"/>
      <c r="D27" s="138"/>
      <c r="E27" s="4"/>
      <c r="F27" s="5"/>
      <c r="G27" s="6"/>
      <c r="H27" s="7"/>
      <c r="I27" s="7"/>
      <c r="J27" s="6"/>
      <c r="K27" s="7"/>
      <c r="L27" s="69"/>
      <c r="M27" s="12"/>
      <c r="N27" s="12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5"/>
      <c r="AS27" s="16"/>
      <c r="AT27" s="15"/>
      <c r="AU27" s="17"/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 t="str">
        <f t="shared" si="4"/>
        <v/>
      </c>
      <c r="BG27" s="18" t="str">
        <f t="shared" si="5"/>
        <v/>
      </c>
      <c r="BH27" s="18"/>
    </row>
    <row r="28" spans="1:60" ht="8.25" customHeight="1" thickBot="1">
      <c r="A28" s="31"/>
      <c r="B28" s="32"/>
      <c r="C28" s="33"/>
      <c r="D28" s="34"/>
      <c r="E28" s="35"/>
      <c r="F28" s="36"/>
      <c r="G28" s="32"/>
      <c r="H28" s="37"/>
      <c r="I28" s="37"/>
      <c r="J28" s="32"/>
      <c r="K28" s="37"/>
      <c r="L28" s="70"/>
      <c r="M28" s="39"/>
      <c r="N28" s="39"/>
      <c r="O28" s="32"/>
      <c r="P28" s="57"/>
      <c r="Q28" s="41"/>
      <c r="R28" s="42"/>
      <c r="S28" s="43"/>
      <c r="T28" s="39"/>
      <c r="U28" s="39"/>
      <c r="V28" s="39"/>
      <c r="W28" s="39"/>
      <c r="X28" s="39"/>
      <c r="Y28" s="39"/>
      <c r="Z28" s="39"/>
      <c r="AA28" s="39"/>
      <c r="AB28" s="60"/>
      <c r="AC28" s="63"/>
      <c r="AD28" s="39"/>
      <c r="AE28" s="39"/>
      <c r="AF28" s="39"/>
      <c r="AG28" s="39"/>
      <c r="AH28" s="39"/>
      <c r="AI28" s="39"/>
      <c r="AJ28" s="39"/>
      <c r="AK28" s="39"/>
      <c r="AL28" s="40"/>
      <c r="AM28" s="43"/>
      <c r="AN28" s="39"/>
      <c r="AO28" s="35"/>
      <c r="AP28" s="43"/>
      <c r="AQ28" s="37"/>
      <c r="AR28" s="37"/>
      <c r="AS28" s="32"/>
      <c r="AT28" s="37"/>
      <c r="AU28" s="44"/>
      <c r="AV28" s="18"/>
      <c r="AW28" s="18" t="str">
        <f t="shared" si="0"/>
        <v/>
      </c>
      <c r="AX28" s="18" t="str">
        <f t="shared" si="1"/>
        <v/>
      </c>
      <c r="AY28" s="18" t="str">
        <f>IF(AND($AP28="TC",NOT(ISBLANK($AT28))),$AT28,"")</f>
        <v/>
      </c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 t="str">
        <f>IF(AND($AP28="HTS",NOT(ISBLANK($AT28))),$AT28,"")</f>
        <v/>
      </c>
      <c r="BF28" s="18" t="str">
        <f t="shared" si="4"/>
        <v/>
      </c>
      <c r="BG28" s="18" t="str">
        <f t="shared" si="5"/>
        <v/>
      </c>
      <c r="BH28" s="18" t="str">
        <f>IF(AND($AP28="HAST",NOT(ISBLANK($AT28))),$AT28,"")</f>
        <v/>
      </c>
    </row>
    <row r="29" spans="1:60" ht="9" customHeight="1" thickBot="1">
      <c r="A29" s="74"/>
      <c r="B29" s="74"/>
      <c r="C29" s="18"/>
      <c r="D29" s="74"/>
      <c r="E29" s="74"/>
      <c r="F29" s="18"/>
      <c r="G29" s="18"/>
      <c r="H29" s="18"/>
      <c r="I29" s="74"/>
      <c r="J29" s="75"/>
      <c r="K29" s="74"/>
      <c r="L29" s="337"/>
      <c r="M29" s="332"/>
      <c r="N29" s="332"/>
      <c r="O29" s="74"/>
      <c r="P29" s="74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</row>
    <row r="30" spans="1:60" ht="8.25" customHeight="1">
      <c r="A30" s="74"/>
      <c r="B30" s="74"/>
      <c r="C30" s="74"/>
      <c r="D30" s="74"/>
      <c r="E30" s="74"/>
      <c r="F30" s="18"/>
      <c r="G30" s="18"/>
      <c r="H30" s="18"/>
      <c r="I30" s="74"/>
      <c r="J30" s="75"/>
      <c r="K30" s="74"/>
      <c r="L30" s="337"/>
      <c r="M30" s="332"/>
      <c r="N30" s="332"/>
      <c r="O30" s="74"/>
      <c r="P30" s="74"/>
      <c r="Q30" s="18"/>
      <c r="R30" s="111" t="s">
        <v>59</v>
      </c>
      <c r="S30" s="86">
        <f>AVERAGE(S$5:S28)</f>
        <v>0</v>
      </c>
      <c r="T30" s="86">
        <f>AVERAGE(T$5:T28)</f>
        <v>0</v>
      </c>
      <c r="U30" s="86">
        <f>AVERAGE(U$5:U28)</f>
        <v>0</v>
      </c>
      <c r="V30" s="86">
        <f>AVERAGE(V$5:V28)</f>
        <v>0</v>
      </c>
      <c r="W30" s="86">
        <f>AVERAGE(W$5:W28)</f>
        <v>0</v>
      </c>
      <c r="X30" s="86">
        <f>AVERAGE(X$5:X28)</f>
        <v>0</v>
      </c>
      <c r="Y30" s="86">
        <f>AVERAGE(Y$5:Y28)</f>
        <v>0</v>
      </c>
      <c r="Z30" s="86">
        <f>AVERAGE(Z$5:Z28)</f>
        <v>0</v>
      </c>
      <c r="AA30" s="86" t="e">
        <f>AVERAGE(AA$5:AA28)</f>
        <v>#DIV/0!</v>
      </c>
      <c r="AB30" s="86" t="e">
        <f>AVERAGE(AB$5:AB28)</f>
        <v>#DIV/0!</v>
      </c>
      <c r="AC30" s="86">
        <f>AVERAGE(AC$5:AC28)</f>
        <v>0</v>
      </c>
      <c r="AD30" s="86">
        <f>AVERAGE(AD$5:AD28)</f>
        <v>0</v>
      </c>
      <c r="AE30" s="86">
        <f>AVERAGE(AE$5:AE28)</f>
        <v>0</v>
      </c>
      <c r="AF30" s="86">
        <f>AVERAGE(AF$5:AF28)</f>
        <v>0</v>
      </c>
      <c r="AG30" s="86">
        <f>AVERAGE(AG$5:AG28)</f>
        <v>0</v>
      </c>
      <c r="AH30" s="86">
        <f>AVERAGE(AH$5:AH28)</f>
        <v>0</v>
      </c>
      <c r="AI30" s="86">
        <f>AVERAGE(AI$5:AI28)</f>
        <v>0</v>
      </c>
      <c r="AJ30" s="87">
        <f>AVERAGE(AJ$5:AJ28)</f>
        <v>0</v>
      </c>
      <c r="AK30" s="83" t="e">
        <f>AVERAGE(AK$5:AK28)</f>
        <v>#DIV/0!</v>
      </c>
      <c r="AL30" s="46" t="e">
        <f>AVERAGE(AL$5:AL28)</f>
        <v>#DIV/0!</v>
      </c>
      <c r="AM30" s="72"/>
      <c r="AN30" s="18"/>
      <c r="AO30" s="18"/>
      <c r="AP30" s="47" t="s">
        <v>60</v>
      </c>
      <c r="AQ30" s="45" t="s">
        <v>61</v>
      </c>
      <c r="AR30" s="45" t="s">
        <v>62</v>
      </c>
      <c r="AS30" s="46" t="s">
        <v>41</v>
      </c>
      <c r="AT30" s="18"/>
      <c r="AU30" s="18"/>
      <c r="AV30" s="18"/>
      <c r="AW30" s="76">
        <f t="shared" ref="AW30:BH30" si="6">SUM(AW5:AW28)</f>
        <v>66000</v>
      </c>
      <c r="AX30" s="76">
        <f t="shared" si="6"/>
        <v>66</v>
      </c>
      <c r="AY30" s="76">
        <f t="shared" si="6"/>
        <v>0</v>
      </c>
      <c r="AZ30" s="76">
        <f t="shared" si="6"/>
        <v>0</v>
      </c>
      <c r="BA30" s="76">
        <f t="shared" si="6"/>
        <v>0</v>
      </c>
      <c r="BB30" s="76">
        <f t="shared" si="6"/>
        <v>0</v>
      </c>
      <c r="BC30" s="76">
        <f t="shared" si="6"/>
        <v>66000</v>
      </c>
      <c r="BD30" s="76">
        <f t="shared" si="6"/>
        <v>66</v>
      </c>
      <c r="BE30" s="76">
        <f t="shared" si="6"/>
        <v>0</v>
      </c>
      <c r="BF30" s="76">
        <f t="shared" si="6"/>
        <v>4224</v>
      </c>
      <c r="BG30" s="76">
        <f t="shared" si="6"/>
        <v>44</v>
      </c>
      <c r="BH30" s="76">
        <f t="shared" si="6"/>
        <v>0</v>
      </c>
    </row>
    <row r="31" spans="1:60" ht="8.25" customHeight="1">
      <c r="A31" s="74"/>
      <c r="B31" s="74"/>
      <c r="C31" s="74"/>
      <c r="D31" s="74"/>
      <c r="E31" s="74"/>
      <c r="F31" s="18"/>
      <c r="G31" s="18"/>
      <c r="H31" s="18"/>
      <c r="I31" s="74"/>
      <c r="J31" s="75"/>
      <c r="K31" s="74"/>
      <c r="L31" s="337"/>
      <c r="M31" s="332"/>
      <c r="N31" s="332"/>
      <c r="O31" s="74"/>
      <c r="P31" s="74"/>
      <c r="Q31" s="18"/>
      <c r="R31" s="112" t="s">
        <v>63</v>
      </c>
      <c r="S31" s="2">
        <f>MIN(S$5:S28)</f>
        <v>0</v>
      </c>
      <c r="T31" s="2">
        <f>MIN(T$5:T28)</f>
        <v>0</v>
      </c>
      <c r="U31" s="2">
        <f>MIN(U$5:U28)</f>
        <v>0</v>
      </c>
      <c r="V31" s="2">
        <f>MIN(V$5:V28)</f>
        <v>0</v>
      </c>
      <c r="W31" s="2">
        <f>MIN(W$5:W28)</f>
        <v>0</v>
      </c>
      <c r="X31" s="2">
        <f>MIN(X$5:X28)</f>
        <v>0</v>
      </c>
      <c r="Y31" s="2">
        <f>MIN(Y$5:Y28)</f>
        <v>0</v>
      </c>
      <c r="Z31" s="2">
        <f>MIN(Z$5:Z28)</f>
        <v>0</v>
      </c>
      <c r="AA31" s="2">
        <f>MIN(AA$5:AA28)</f>
        <v>0</v>
      </c>
      <c r="AB31" s="2">
        <f>MIN(AB$5:AB28)</f>
        <v>0</v>
      </c>
      <c r="AC31" s="2">
        <f>MIN(AC$5:AC28)</f>
        <v>0</v>
      </c>
      <c r="AD31" s="2">
        <f>MIN(AD$5:AD28)</f>
        <v>0</v>
      </c>
      <c r="AE31" s="2">
        <f>MIN(AE$5:AE28)</f>
        <v>0</v>
      </c>
      <c r="AF31" s="2">
        <f>MIN(AF$5:AF28)</f>
        <v>0</v>
      </c>
      <c r="AG31" s="2">
        <f>MIN(AG$5:AG28)</f>
        <v>0</v>
      </c>
      <c r="AH31" s="2">
        <f>MIN(AH$5:AH28)</f>
        <v>0</v>
      </c>
      <c r="AI31" s="2">
        <f>MIN(AI$5:AI28)</f>
        <v>0</v>
      </c>
      <c r="AJ31" s="88">
        <f>MIN(AJ$5:AJ28)</f>
        <v>0</v>
      </c>
      <c r="AK31" s="84">
        <f>MIN(AK$5:AK28)</f>
        <v>0</v>
      </c>
      <c r="AL31" s="29">
        <f>MIN(AL$5:AL28)</f>
        <v>0</v>
      </c>
      <c r="AM31" s="72"/>
      <c r="AN31" s="18"/>
      <c r="AO31" s="18"/>
      <c r="AP31" s="48" t="s">
        <v>64</v>
      </c>
      <c r="AQ31" s="2" t="s">
        <v>65</v>
      </c>
      <c r="AR31" s="2">
        <f>SUM(AN5:AN28)</f>
        <v>198</v>
      </c>
      <c r="AS31" s="29">
        <f>SUM(AM5:AM28)</f>
        <v>0</v>
      </c>
      <c r="AT31" s="18"/>
      <c r="AU31" s="18"/>
      <c r="AV31" s="18"/>
      <c r="AW31" s="77" t="s">
        <v>45</v>
      </c>
      <c r="AX31" s="77" t="s">
        <v>46</v>
      </c>
      <c r="AY31" s="77" t="s">
        <v>47</v>
      </c>
      <c r="AZ31" s="77" t="s">
        <v>48</v>
      </c>
      <c r="BA31" s="77" t="s">
        <v>49</v>
      </c>
      <c r="BB31" s="77" t="s">
        <v>50</v>
      </c>
      <c r="BC31" s="77" t="s">
        <v>51</v>
      </c>
      <c r="BD31" s="77" t="s">
        <v>52</v>
      </c>
      <c r="BE31" s="77" t="s">
        <v>53</v>
      </c>
      <c r="BF31" s="77" t="s">
        <v>54</v>
      </c>
      <c r="BG31" s="77" t="s">
        <v>55</v>
      </c>
      <c r="BH31" s="77" t="s">
        <v>56</v>
      </c>
    </row>
    <row r="32" spans="1:60" ht="8.25" customHeight="1">
      <c r="A32" s="74"/>
      <c r="B32" s="74"/>
      <c r="C32" s="74"/>
      <c r="D32" s="74"/>
      <c r="E32" s="74"/>
      <c r="F32" s="18"/>
      <c r="G32" s="18"/>
      <c r="H32" s="18"/>
      <c r="I32" s="74"/>
      <c r="J32" s="75"/>
      <c r="K32" s="74"/>
      <c r="L32" s="337"/>
      <c r="M32" s="332"/>
      <c r="N32" s="332"/>
      <c r="O32" s="74"/>
      <c r="P32" s="74"/>
      <c r="Q32" s="18"/>
      <c r="R32" s="112" t="s">
        <v>146</v>
      </c>
      <c r="S32" s="2">
        <f>MAX(S$5:S28)</f>
        <v>0</v>
      </c>
      <c r="T32" s="2">
        <f>MAX(T$5:T28)</f>
        <v>0</v>
      </c>
      <c r="U32" s="2">
        <f>MAX(U$5:U28)</f>
        <v>0</v>
      </c>
      <c r="V32" s="2">
        <f>MAX(V$5:V28)</f>
        <v>0</v>
      </c>
      <c r="W32" s="2">
        <f>MAX(W$5:W28)</f>
        <v>0</v>
      </c>
      <c r="X32" s="2">
        <f>MAX(X$5:X28)</f>
        <v>0</v>
      </c>
      <c r="Y32" s="2">
        <f>MAX(Y$5:Y28)</f>
        <v>0</v>
      </c>
      <c r="Z32" s="2">
        <f>MAX(Z$5:Z28)</f>
        <v>0</v>
      </c>
      <c r="AA32" s="2">
        <f>MAX(AA$5:AA28)</f>
        <v>0</v>
      </c>
      <c r="AB32" s="2">
        <f>MAX(AB$5:AB28)</f>
        <v>0</v>
      </c>
      <c r="AC32" s="2">
        <f>MAX(AC$5:AC28)</f>
        <v>0</v>
      </c>
      <c r="AD32" s="2">
        <f>MAX(AD$5:AD28)</f>
        <v>0</v>
      </c>
      <c r="AE32" s="2">
        <f>MAX(AE$5:AE28)</f>
        <v>0</v>
      </c>
      <c r="AF32" s="2">
        <f>MAX(AF$5:AF28)</f>
        <v>0</v>
      </c>
      <c r="AG32" s="2">
        <f>MAX(AG$5:AG28)</f>
        <v>0</v>
      </c>
      <c r="AH32" s="2">
        <f>MAX(AH$5:AH28)</f>
        <v>0</v>
      </c>
      <c r="AI32" s="2">
        <f>MAX(AI$5:AI28)</f>
        <v>0</v>
      </c>
      <c r="AJ32" s="88">
        <f>MAX(AJ$5:AJ28)</f>
        <v>0</v>
      </c>
      <c r="AK32" s="84">
        <f>MAX(AK$5:AK28)</f>
        <v>0</v>
      </c>
      <c r="AL32" s="29">
        <f>MAX(AL$5:AL28)</f>
        <v>0</v>
      </c>
      <c r="AM32" s="72"/>
      <c r="AN32" s="18"/>
      <c r="AO32" s="18"/>
      <c r="AP32" s="48" t="s">
        <v>46</v>
      </c>
      <c r="AQ32" s="2">
        <f>AW30</f>
        <v>66000</v>
      </c>
      <c r="AR32" s="2">
        <f>AX30</f>
        <v>66</v>
      </c>
      <c r="AS32" s="29">
        <f>AY30</f>
        <v>0</v>
      </c>
      <c r="AT32" s="18"/>
      <c r="AU32" s="18"/>
      <c r="AV32" s="18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</row>
    <row r="33" spans="1:60" ht="8.25" customHeight="1">
      <c r="A33" s="74"/>
      <c r="B33" s="74"/>
      <c r="C33" s="74"/>
      <c r="D33" s="74"/>
      <c r="E33" s="74"/>
      <c r="F33" s="18"/>
      <c r="G33" s="18"/>
      <c r="H33" s="18"/>
      <c r="I33" s="74"/>
      <c r="J33" s="75"/>
      <c r="K33" s="74"/>
      <c r="L33" s="286"/>
      <c r="M33" s="18"/>
      <c r="N33" s="18"/>
      <c r="O33" s="74"/>
      <c r="P33" s="74"/>
      <c r="Q33" s="18"/>
      <c r="R33" s="112" t="s">
        <v>66</v>
      </c>
      <c r="S33" s="2">
        <f>STDEV(S$5:S28)</f>
        <v>0</v>
      </c>
      <c r="T33" s="2">
        <f>STDEV(T$5:T28)</f>
        <v>0</v>
      </c>
      <c r="U33" s="2">
        <f>STDEV(U$5:U28)</f>
        <v>0</v>
      </c>
      <c r="V33" s="2">
        <f>STDEV(V$5:V28)</f>
        <v>0</v>
      </c>
      <c r="W33" s="2">
        <f>STDEV(W$5:W28)</f>
        <v>0</v>
      </c>
      <c r="X33" s="2">
        <f>STDEV(X$5:X28)</f>
        <v>0</v>
      </c>
      <c r="Y33" s="2">
        <f>STDEV(Y$5:Y28)</f>
        <v>0</v>
      </c>
      <c r="Z33" s="2">
        <f>STDEV(Z$5:Z28)</f>
        <v>0</v>
      </c>
      <c r="AA33" s="2" t="e">
        <f>STDEV(AA$5:AA28)</f>
        <v>#DIV/0!</v>
      </c>
      <c r="AB33" s="2" t="e">
        <f>STDEV(AB$5:AB28)</f>
        <v>#DIV/0!</v>
      </c>
      <c r="AC33" s="2">
        <f>STDEV(AC$5:AC28)</f>
        <v>0</v>
      </c>
      <c r="AD33" s="2">
        <f>STDEV(AD$5:AD28)</f>
        <v>0</v>
      </c>
      <c r="AE33" s="2">
        <f>STDEV(AE$5:AE28)</f>
        <v>0</v>
      </c>
      <c r="AF33" s="2">
        <f>STDEV(AF$5:AF28)</f>
        <v>0</v>
      </c>
      <c r="AG33" s="2">
        <f>STDEV(AG$5:AG28)</f>
        <v>0</v>
      </c>
      <c r="AH33" s="2">
        <f>STDEV(AH$5:AH28)</f>
        <v>0</v>
      </c>
      <c r="AI33" s="2">
        <f>STDEV(AI$5:AI28)</f>
        <v>0</v>
      </c>
      <c r="AJ33" s="88">
        <f>STDEV(AJ$5:AJ28)</f>
        <v>0</v>
      </c>
      <c r="AK33" s="84" t="e">
        <f>STDEV(AK$5:AK28)</f>
        <v>#DIV/0!</v>
      </c>
      <c r="AL33" s="29" t="e">
        <f>STDEV(AL$5:AL28)</f>
        <v>#DIV/0!</v>
      </c>
      <c r="AM33" s="72"/>
      <c r="AN33" s="18"/>
      <c r="AO33" s="18"/>
      <c r="AP33" s="48" t="s">
        <v>49</v>
      </c>
      <c r="AQ33" s="2">
        <f>AZ30</f>
        <v>0</v>
      </c>
      <c r="AR33" s="2">
        <f>BA30</f>
        <v>0</v>
      </c>
      <c r="AS33" s="29">
        <f>BB30</f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</row>
    <row r="34" spans="1:60" ht="9" customHeight="1" thickBot="1">
      <c r="A34" s="74"/>
      <c r="B34" s="74"/>
      <c r="C34" s="74"/>
      <c r="D34" s="74"/>
      <c r="E34" s="74"/>
      <c r="F34" s="18"/>
      <c r="G34" s="18"/>
      <c r="H34" s="18"/>
      <c r="I34" s="74"/>
      <c r="J34" s="75"/>
      <c r="K34" s="74"/>
      <c r="L34" s="286"/>
      <c r="M34" s="18"/>
      <c r="N34" s="18"/>
      <c r="O34" s="74"/>
      <c r="P34" s="74"/>
      <c r="Q34" s="18"/>
      <c r="R34" s="113" t="s">
        <v>67</v>
      </c>
      <c r="S34" s="89">
        <f t="shared" ref="S34:X34" si="7">IF(S30+(3*S33)&gt;100,100,S30+(3*S33))</f>
        <v>0</v>
      </c>
      <c r="T34" s="89">
        <f t="shared" si="7"/>
        <v>0</v>
      </c>
      <c r="U34" s="89">
        <f t="shared" si="7"/>
        <v>0</v>
      </c>
      <c r="V34" s="89">
        <f t="shared" si="7"/>
        <v>0</v>
      </c>
      <c r="W34" s="89">
        <f t="shared" si="7"/>
        <v>0</v>
      </c>
      <c r="X34" s="89">
        <f t="shared" si="7"/>
        <v>0</v>
      </c>
      <c r="Y34" s="89">
        <f t="shared" ref="Y34:AB34" si="8">IF(Y30+(3*Y33)&gt;100,100,Y30+(3*Y33))</f>
        <v>0</v>
      </c>
      <c r="Z34" s="89">
        <f t="shared" si="8"/>
        <v>0</v>
      </c>
      <c r="AA34" s="89" t="e">
        <f t="shared" si="8"/>
        <v>#DIV/0!</v>
      </c>
      <c r="AB34" s="89" t="e">
        <f t="shared" si="8"/>
        <v>#DIV/0!</v>
      </c>
      <c r="AC34" s="89">
        <f t="shared" ref="AC34:AH34" si="9">IF(AC30+(3*AC33)&gt;100,100,AC30+(3*AC33))</f>
        <v>0</v>
      </c>
      <c r="AD34" s="89">
        <f t="shared" si="9"/>
        <v>0</v>
      </c>
      <c r="AE34" s="89">
        <f t="shared" si="9"/>
        <v>0</v>
      </c>
      <c r="AF34" s="89">
        <f t="shared" si="9"/>
        <v>0</v>
      </c>
      <c r="AG34" s="89">
        <f t="shared" si="9"/>
        <v>0</v>
      </c>
      <c r="AH34" s="89">
        <f t="shared" si="9"/>
        <v>0</v>
      </c>
      <c r="AI34" s="89">
        <f t="shared" ref="AI34:AJ34" si="10">IF(AI30+(3*AI33)&gt;100,100,AI30+(3*AI33))</f>
        <v>0</v>
      </c>
      <c r="AJ34" s="90">
        <f t="shared" si="10"/>
        <v>0</v>
      </c>
      <c r="AK34" s="85" t="e">
        <f>IF(AK30+(3*AK33)&gt;100,100,AK30+(3*AK33))</f>
        <v>#DIV/0!</v>
      </c>
      <c r="AL34" s="49" t="e">
        <f>IF(AL30+(3*AL33)&gt;100,100,AL30+(3*AL33))</f>
        <v>#DIV/0!</v>
      </c>
      <c r="AM34" s="72"/>
      <c r="AN34" s="18"/>
      <c r="AO34" s="18"/>
      <c r="AP34" s="48" t="s">
        <v>52</v>
      </c>
      <c r="AQ34" s="2">
        <f>BC30</f>
        <v>66000</v>
      </c>
      <c r="AR34" s="2">
        <f>BD30</f>
        <v>66</v>
      </c>
      <c r="AS34" s="29">
        <f>BE30</f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</row>
    <row r="35" spans="1:60" ht="9" customHeight="1" thickBot="1">
      <c r="A35" s="74"/>
      <c r="B35" s="74"/>
      <c r="C35" s="74"/>
      <c r="D35" s="74"/>
      <c r="E35" s="74"/>
      <c r="F35" s="18"/>
      <c r="G35" s="18"/>
      <c r="H35" s="18"/>
      <c r="I35" s="74"/>
      <c r="J35" s="75"/>
      <c r="K35" s="74"/>
      <c r="L35" s="286"/>
      <c r="M35" s="18"/>
      <c r="N35" s="18"/>
      <c r="O35" s="74"/>
      <c r="P35" s="74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72"/>
      <c r="AI35" s="18"/>
      <c r="AJ35" s="18"/>
      <c r="AK35" s="18"/>
      <c r="AL35" s="18"/>
      <c r="AM35" s="18"/>
      <c r="AN35" s="18"/>
      <c r="AO35" s="18"/>
      <c r="AP35" s="50" t="s">
        <v>58</v>
      </c>
      <c r="AQ35" s="32">
        <f>BF30</f>
        <v>4224</v>
      </c>
      <c r="AR35" s="32">
        <f>BG30</f>
        <v>44</v>
      </c>
      <c r="AS35" s="49">
        <f>BH30</f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 t="str">
        <f>IF(AND($AP35="HAST",NOT(ISBLANK($AT35))),$AU35*$AR35,"")</f>
        <v/>
      </c>
      <c r="BG35" s="18" t="str">
        <f>IF(AND($AP35="HAST",NOT(ISBLANK($AT35))),$AU35,"")</f>
        <v/>
      </c>
      <c r="BH35" s="18" t="str">
        <f>IF(AND($AP35="HAST",NOT(ISBLANK($AT35))),$AT35,"")</f>
        <v/>
      </c>
    </row>
    <row r="36" spans="1:60" ht="8.25" customHeight="1">
      <c r="R36" s="18" t="s">
        <v>69</v>
      </c>
      <c r="S36" s="73"/>
      <c r="T36" s="73"/>
    </row>
    <row r="37" spans="1:60" ht="8.25" customHeight="1">
      <c r="R37" s="18"/>
      <c r="S37" s="73" t="s">
        <v>70</v>
      </c>
      <c r="T37" s="73"/>
    </row>
    <row r="38" spans="1:60" ht="8.25" customHeight="1">
      <c r="R38" s="18"/>
      <c r="S38" s="73" t="s">
        <v>71</v>
      </c>
      <c r="T38" s="73"/>
    </row>
    <row r="39" spans="1:60" ht="8.25" customHeight="1">
      <c r="R39" s="18"/>
      <c r="S39" s="73" t="s">
        <v>72</v>
      </c>
    </row>
    <row r="40" spans="1:60" ht="8.25" customHeight="1">
      <c r="R40" s="18"/>
      <c r="S40" s="73" t="s">
        <v>73</v>
      </c>
    </row>
    <row r="41" spans="1:60" ht="8.25" customHeight="1">
      <c r="R41" s="18"/>
      <c r="S41" s="73" t="s">
        <v>74</v>
      </c>
    </row>
  </sheetData>
  <mergeCells count="38">
    <mergeCell ref="AP3:AP4"/>
    <mergeCell ref="AU3:AU4"/>
    <mergeCell ref="L29:N29"/>
    <mergeCell ref="L30:N30"/>
    <mergeCell ref="L31:N31"/>
    <mergeCell ref="AN3:AN4"/>
    <mergeCell ref="AO3:AO4"/>
    <mergeCell ref="L32:N32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</mergeCells>
  <conditionalFormatting sqref="AT5:AT27">
    <cfRule type="cellIs" dxfId="12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68"/>
  <sheetViews>
    <sheetView showGridLines="0" zoomScale="130" zoomScaleNormal="130" workbookViewId="0">
      <pane xSplit="5" ySplit="4" topLeftCell="S16" activePane="bottomRight" state="frozen"/>
      <selection activeCell="L8" sqref="L8:N10"/>
      <selection pane="topRight" activeCell="L8" sqref="L8:N10"/>
      <selection pane="bottomLeft" activeCell="L8" sqref="L8:N10"/>
      <selection pane="bottomRight" activeCell="AQ32" sqref="AQ32"/>
    </sheetView>
  </sheetViews>
  <sheetFormatPr defaultColWidth="14.453125" defaultRowHeight="15" customHeight="1"/>
  <cols>
    <col min="1" max="1" width="8.453125" style="30" bestFit="1" customWidth="1"/>
    <col min="2" max="2" width="3.26953125" style="30" customWidth="1"/>
    <col min="3" max="3" width="6" style="30" customWidth="1"/>
    <col min="4" max="5" width="4" style="30" customWidth="1"/>
    <col min="6" max="6" width="6.54296875" style="30" bestFit="1" customWidth="1"/>
    <col min="7" max="7" width="1.54296875" style="30" customWidth="1"/>
    <col min="8" max="8" width="6.26953125" style="30" bestFit="1" customWidth="1"/>
    <col min="9" max="9" width="6.54296875" style="30" customWidth="1"/>
    <col min="10" max="10" width="5.7265625" style="30" customWidth="1"/>
    <col min="11" max="11" width="11.54296875" style="30" bestFit="1" customWidth="1"/>
    <col min="12" max="12" width="4.453125" style="295" customWidth="1"/>
    <col min="13" max="13" width="7.7265625" style="246" bestFit="1" customWidth="1"/>
    <col min="14" max="14" width="8.7265625" style="246" customWidth="1"/>
    <col min="15" max="15" width="12.54296875" style="30" customWidth="1"/>
    <col min="16" max="16" width="10.7265625" style="30" bestFit="1" customWidth="1"/>
    <col min="17" max="17" width="11" style="30" customWidth="1"/>
    <col min="18" max="18" width="8.54296875" style="30" customWidth="1"/>
    <col min="19" max="40" width="2.7265625" style="30" customWidth="1"/>
    <col min="41" max="41" width="5.54296875" style="30" customWidth="1"/>
    <col min="42" max="42" width="5" style="30" customWidth="1"/>
    <col min="43" max="43" width="7.54296875" style="30" customWidth="1"/>
    <col min="44" max="45" width="4.54296875" style="30" customWidth="1"/>
    <col min="46" max="46" width="2.7265625" style="30" customWidth="1"/>
    <col min="47" max="47" width="3" style="30" customWidth="1"/>
    <col min="48" max="48" width="1.26953125" style="30" customWidth="1"/>
    <col min="49" max="49" width="6.54296875" style="30" customWidth="1"/>
    <col min="50" max="50" width="3.7265625" style="30" customWidth="1"/>
    <col min="51" max="51" width="5.54296875" style="30" customWidth="1"/>
    <col min="52" max="54" width="2.81640625" style="30" hidden="1" customWidth="1"/>
    <col min="55" max="55" width="6.54296875" style="30" customWidth="1"/>
    <col min="56" max="56" width="4.26953125" style="30" customWidth="1"/>
    <col min="57" max="57" width="5.7265625" style="30" customWidth="1"/>
    <col min="58" max="58" width="6.7265625" style="30" customWidth="1"/>
    <col min="59" max="59" width="4.26953125" style="30" customWidth="1"/>
    <col min="60" max="60" width="6" style="30" customWidth="1"/>
    <col min="61" max="70" width="9.1796875" style="30" customWidth="1"/>
    <col min="71" max="16384" width="14.453125" style="30"/>
  </cols>
  <sheetData>
    <row r="1" spans="1:60" ht="10.5" customHeight="1">
      <c r="A1" s="322" t="s">
        <v>0</v>
      </c>
      <c r="B1" s="360"/>
      <c r="C1" s="361"/>
      <c r="D1" s="324" t="s">
        <v>1</v>
      </c>
      <c r="E1" s="361"/>
      <c r="F1" s="325" t="s">
        <v>2</v>
      </c>
      <c r="G1" s="385"/>
      <c r="H1" s="385"/>
      <c r="I1" s="385"/>
      <c r="J1" s="385"/>
      <c r="K1" s="385"/>
      <c r="L1" s="385"/>
      <c r="M1" s="385"/>
      <c r="N1" s="385"/>
      <c r="O1" s="385"/>
      <c r="P1" s="386"/>
      <c r="Q1" s="328" t="s">
        <v>3</v>
      </c>
      <c r="R1" s="331" t="s">
        <v>4</v>
      </c>
      <c r="S1" s="334" t="s">
        <v>5</v>
      </c>
      <c r="T1" s="360"/>
      <c r="U1" s="360"/>
      <c r="V1" s="360"/>
      <c r="W1" s="360"/>
      <c r="X1" s="360"/>
      <c r="Y1" s="360"/>
      <c r="Z1" s="360"/>
      <c r="AA1" s="360"/>
      <c r="AB1" s="380"/>
      <c r="AC1" s="296" t="s">
        <v>6</v>
      </c>
      <c r="AD1" s="360"/>
      <c r="AE1" s="360"/>
      <c r="AF1" s="360"/>
      <c r="AG1" s="360"/>
      <c r="AH1" s="360"/>
      <c r="AI1" s="360"/>
      <c r="AJ1" s="360"/>
      <c r="AK1" s="360"/>
      <c r="AL1" s="361"/>
      <c r="AM1" s="302" t="s">
        <v>7</v>
      </c>
      <c r="AN1" s="360"/>
      <c r="AO1" s="365"/>
      <c r="AP1" s="306" t="s">
        <v>8</v>
      </c>
      <c r="AQ1" s="360"/>
      <c r="AR1" s="360"/>
      <c r="AS1" s="360"/>
      <c r="AT1" s="360"/>
      <c r="AU1" s="3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95"/>
      <c r="B2" s="363"/>
      <c r="C2" s="364"/>
      <c r="D2" s="366"/>
      <c r="E2" s="364"/>
      <c r="F2" s="366"/>
      <c r="G2" s="363"/>
      <c r="H2" s="363"/>
      <c r="I2" s="363"/>
      <c r="J2" s="363"/>
      <c r="K2" s="363"/>
      <c r="L2" s="363"/>
      <c r="M2" s="363"/>
      <c r="N2" s="363"/>
      <c r="O2" s="363"/>
      <c r="P2" s="367"/>
      <c r="Q2" s="377"/>
      <c r="R2" s="368"/>
      <c r="S2" s="366"/>
      <c r="T2" s="363"/>
      <c r="U2" s="363"/>
      <c r="V2" s="363"/>
      <c r="W2" s="363"/>
      <c r="X2" s="363"/>
      <c r="Y2" s="363"/>
      <c r="Z2" s="363"/>
      <c r="AA2" s="363"/>
      <c r="AB2" s="381"/>
      <c r="AC2" s="362"/>
      <c r="AD2" s="363"/>
      <c r="AE2" s="363"/>
      <c r="AF2" s="363"/>
      <c r="AG2" s="363"/>
      <c r="AH2" s="363"/>
      <c r="AI2" s="363"/>
      <c r="AJ2" s="363"/>
      <c r="AK2" s="363"/>
      <c r="AL2" s="364"/>
      <c r="AM2" s="366"/>
      <c r="AN2" s="363"/>
      <c r="AO2" s="367"/>
      <c r="AP2" s="363"/>
      <c r="AQ2" s="363"/>
      <c r="AR2" s="363"/>
      <c r="AS2" s="363"/>
      <c r="AT2" s="363"/>
      <c r="AU2" s="372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84"/>
      <c r="H3" s="374"/>
      <c r="I3" s="321" t="s">
        <v>77</v>
      </c>
      <c r="J3" s="384"/>
      <c r="K3" s="374"/>
      <c r="L3" s="284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77"/>
      <c r="R3" s="368"/>
      <c r="S3" s="339" t="s">
        <v>24</v>
      </c>
      <c r="T3" s="374"/>
      <c r="U3" s="338" t="s">
        <v>25</v>
      </c>
      <c r="V3" s="374"/>
      <c r="W3" s="338" t="s">
        <v>26</v>
      </c>
      <c r="X3" s="374"/>
      <c r="Y3" s="338" t="s">
        <v>27</v>
      </c>
      <c r="Z3" s="374"/>
      <c r="AA3" s="338" t="s">
        <v>28</v>
      </c>
      <c r="AB3" s="376"/>
      <c r="AC3" s="341" t="s">
        <v>24</v>
      </c>
      <c r="AD3" s="374"/>
      <c r="AE3" s="338" t="s">
        <v>25</v>
      </c>
      <c r="AF3" s="374"/>
      <c r="AG3" s="338" t="s">
        <v>26</v>
      </c>
      <c r="AH3" s="374"/>
      <c r="AI3" s="338" t="s">
        <v>27</v>
      </c>
      <c r="AJ3" s="374"/>
      <c r="AK3" s="338" t="s">
        <v>28</v>
      </c>
      <c r="AL3" s="374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87"/>
      <c r="B4" s="375"/>
      <c r="C4" s="388"/>
      <c r="D4" s="393"/>
      <c r="E4" s="383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285" t="s">
        <v>39</v>
      </c>
      <c r="M4" s="456"/>
      <c r="N4" s="456"/>
      <c r="O4" s="375"/>
      <c r="P4" s="382"/>
      <c r="Q4" s="378"/>
      <c r="R4" s="379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75"/>
      <c r="AO4" s="369"/>
      <c r="AP4" s="370"/>
      <c r="AQ4" s="28" t="s">
        <v>42</v>
      </c>
      <c r="AR4" s="28" t="s">
        <v>43</v>
      </c>
      <c r="AS4" s="28" t="s">
        <v>44</v>
      </c>
      <c r="AT4" s="28" t="s">
        <v>41</v>
      </c>
      <c r="AU4" s="373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ht="8.25" customHeight="1">
      <c r="A5" s="122" t="s">
        <v>134</v>
      </c>
      <c r="B5" s="117">
        <v>10</v>
      </c>
      <c r="C5" s="125" t="s">
        <v>219</v>
      </c>
      <c r="D5" s="209">
        <v>2547</v>
      </c>
      <c r="E5" s="114" t="s">
        <v>85</v>
      </c>
      <c r="F5" s="213">
        <v>47</v>
      </c>
      <c r="G5" s="175" t="s">
        <v>147</v>
      </c>
      <c r="H5" s="214">
        <v>47</v>
      </c>
      <c r="I5" s="177" t="s">
        <v>157</v>
      </c>
      <c r="J5" s="175" t="s">
        <v>215</v>
      </c>
      <c r="K5" s="177" t="s">
        <v>108</v>
      </c>
      <c r="L5" s="180">
        <v>1</v>
      </c>
      <c r="M5" s="116" t="s">
        <v>89</v>
      </c>
      <c r="N5" s="116" t="s">
        <v>65</v>
      </c>
      <c r="O5" s="117" t="s">
        <v>220</v>
      </c>
      <c r="P5" s="179" t="s">
        <v>65</v>
      </c>
      <c r="Q5" s="123" t="s">
        <v>91</v>
      </c>
      <c r="R5" s="124" t="s">
        <v>92</v>
      </c>
      <c r="S5" s="119" t="s">
        <v>57</v>
      </c>
      <c r="T5" s="116" t="s">
        <v>57</v>
      </c>
      <c r="U5" s="116" t="s">
        <v>57</v>
      </c>
      <c r="V5" s="116" t="s">
        <v>57</v>
      </c>
      <c r="W5" s="116" t="s">
        <v>57</v>
      </c>
      <c r="X5" s="117" t="s">
        <v>57</v>
      </c>
      <c r="Y5" s="117" t="s">
        <v>57</v>
      </c>
      <c r="Z5" s="117" t="s">
        <v>57</v>
      </c>
      <c r="AA5" s="117" t="s">
        <v>57</v>
      </c>
      <c r="AB5" s="199" t="s">
        <v>57</v>
      </c>
      <c r="AC5" s="200" t="s">
        <v>57</v>
      </c>
      <c r="AD5" s="117" t="s">
        <v>57</v>
      </c>
      <c r="AE5" s="117" t="s">
        <v>57</v>
      </c>
      <c r="AF5" s="117" t="s">
        <v>57</v>
      </c>
      <c r="AG5" s="117" t="s">
        <v>57</v>
      </c>
      <c r="AH5" s="117" t="s">
        <v>57</v>
      </c>
      <c r="AI5" s="116" t="s">
        <v>57</v>
      </c>
      <c r="AJ5" s="116" t="s">
        <v>57</v>
      </c>
      <c r="AK5" s="116" t="s">
        <v>57</v>
      </c>
      <c r="AL5" s="118" t="s">
        <v>57</v>
      </c>
      <c r="AM5" s="119" t="s">
        <v>57</v>
      </c>
      <c r="AN5" s="116" t="s">
        <v>57</v>
      </c>
      <c r="AO5" s="114" t="s">
        <v>155</v>
      </c>
      <c r="AP5" s="120"/>
      <c r="AQ5" s="117"/>
      <c r="AR5" s="202"/>
      <c r="AS5" s="202"/>
      <c r="AT5" s="202"/>
      <c r="AU5" s="204"/>
      <c r="AV5" s="18"/>
      <c r="AW5" s="18" t="str">
        <f t="shared" ref="AW5:AW55" si="0">IF(AND($AP5="TC",NOT(ISBLANK($AT5))),$AU5*$AR5,"")</f>
        <v/>
      </c>
      <c r="AX5" s="18" t="str">
        <f t="shared" ref="AX5:AX55" si="1">IF(AND($AP5="TC",NOT(ISBLANK($AT5))),$AU5,"")</f>
        <v/>
      </c>
      <c r="AY5" s="18"/>
      <c r="AZ5" s="18"/>
      <c r="BA5" s="18"/>
      <c r="BB5" s="18"/>
      <c r="BC5" s="18" t="str">
        <f t="shared" ref="BC5:BC55" si="2">IF(AND($AP5="HTS",NOT(ISBLANK($AT5))),$AU5*$AR5,"")</f>
        <v/>
      </c>
      <c r="BD5" s="18" t="str">
        <f t="shared" ref="BD5:BD55" si="3">IF(AND($AP5="HTS",NOT(ISBLANK($AT5))),$AU5,"")</f>
        <v/>
      </c>
      <c r="BE5" s="18"/>
      <c r="BF5" s="18" t="str">
        <f t="shared" ref="BF5:BF55" si="4">IF(AND($AP5="HAST",NOT(ISBLANK($AT5))),$AU5*$AR5,"")</f>
        <v/>
      </c>
      <c r="BG5" s="18" t="str">
        <f t="shared" ref="BG5:BG55" si="5">IF(AND($AP5="HAST",NOT(ISBLANK($AT5))),$AU5,"")</f>
        <v/>
      </c>
      <c r="BH5" s="18"/>
    </row>
    <row r="6" spans="1:60" ht="8.25" customHeight="1">
      <c r="A6" s="1"/>
      <c r="B6" s="2"/>
      <c r="C6" s="3"/>
      <c r="D6" s="138"/>
      <c r="E6" s="4"/>
      <c r="F6" s="288"/>
      <c r="G6" s="6"/>
      <c r="H6" s="289"/>
      <c r="I6" s="7"/>
      <c r="J6" s="6"/>
      <c r="K6" s="7"/>
      <c r="L6" s="126"/>
      <c r="M6" s="12"/>
      <c r="N6" s="12"/>
      <c r="O6" s="2"/>
      <c r="P6" s="56"/>
      <c r="Q6" s="9"/>
      <c r="R6" s="10"/>
      <c r="S6" s="11"/>
      <c r="T6" s="12"/>
      <c r="U6" s="12"/>
      <c r="V6" s="12"/>
      <c r="W6" s="12"/>
      <c r="X6" s="2"/>
      <c r="Y6" s="2"/>
      <c r="Z6" s="2"/>
      <c r="AA6" s="2"/>
      <c r="AB6" s="59"/>
      <c r="AC6" s="62"/>
      <c r="AD6" s="2"/>
      <c r="AE6" s="2"/>
      <c r="AF6" s="2"/>
      <c r="AG6" s="2"/>
      <c r="AH6" s="2"/>
      <c r="AI6" s="12"/>
      <c r="AJ6" s="12"/>
      <c r="AK6" s="12"/>
      <c r="AL6" s="13"/>
      <c r="AM6" s="11"/>
      <c r="AN6" s="12"/>
      <c r="AO6" s="4"/>
      <c r="AP6" s="14"/>
      <c r="AQ6" s="2"/>
      <c r="AR6" s="16"/>
      <c r="AS6" s="16"/>
      <c r="AT6" s="16"/>
      <c r="AU6" s="51"/>
      <c r="AV6" s="18"/>
      <c r="AW6" s="18" t="str">
        <f t="shared" si="0"/>
        <v/>
      </c>
      <c r="AX6" s="18" t="str">
        <f t="shared" si="1"/>
        <v/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ht="8.25" customHeight="1">
      <c r="A7" s="1" t="s">
        <v>134</v>
      </c>
      <c r="B7" s="2">
        <v>8</v>
      </c>
      <c r="C7" s="3" t="s">
        <v>221</v>
      </c>
      <c r="D7" s="138">
        <v>2504</v>
      </c>
      <c r="E7" s="4" t="s">
        <v>85</v>
      </c>
      <c r="F7" s="288" t="s">
        <v>135</v>
      </c>
      <c r="G7" s="6" t="s">
        <v>147</v>
      </c>
      <c r="H7" s="289" t="s">
        <v>136</v>
      </c>
      <c r="I7" s="7" t="s">
        <v>157</v>
      </c>
      <c r="J7" s="6" t="s">
        <v>87</v>
      </c>
      <c r="K7" s="7" t="s">
        <v>108</v>
      </c>
      <c r="L7" s="126">
        <v>1</v>
      </c>
      <c r="M7" s="12" t="s">
        <v>89</v>
      </c>
      <c r="N7" s="12" t="s">
        <v>65</v>
      </c>
      <c r="O7" s="2" t="s">
        <v>168</v>
      </c>
      <c r="P7" s="56" t="s">
        <v>65</v>
      </c>
      <c r="Q7" s="9" t="s">
        <v>91</v>
      </c>
      <c r="R7" s="10" t="s">
        <v>92</v>
      </c>
      <c r="S7" s="11" t="s">
        <v>57</v>
      </c>
      <c r="T7" s="12" t="s">
        <v>57</v>
      </c>
      <c r="U7" s="12" t="s">
        <v>57</v>
      </c>
      <c r="V7" s="12" t="s">
        <v>57</v>
      </c>
      <c r="W7" s="12" t="s">
        <v>57</v>
      </c>
      <c r="X7" s="2" t="s">
        <v>57</v>
      </c>
      <c r="Y7" s="2" t="s">
        <v>57</v>
      </c>
      <c r="Z7" s="2" t="s">
        <v>57</v>
      </c>
      <c r="AA7" s="2" t="s">
        <v>57</v>
      </c>
      <c r="AB7" s="59" t="s">
        <v>57</v>
      </c>
      <c r="AC7" s="62" t="s">
        <v>57</v>
      </c>
      <c r="AD7" s="2" t="s">
        <v>57</v>
      </c>
      <c r="AE7" s="2" t="s">
        <v>57</v>
      </c>
      <c r="AF7" s="2" t="s">
        <v>57</v>
      </c>
      <c r="AG7" s="2" t="s">
        <v>57</v>
      </c>
      <c r="AH7" s="2" t="s">
        <v>57</v>
      </c>
      <c r="AI7" s="12" t="s">
        <v>57</v>
      </c>
      <c r="AJ7" s="12" t="s">
        <v>57</v>
      </c>
      <c r="AK7" s="12" t="s">
        <v>57</v>
      </c>
      <c r="AL7" s="13" t="s">
        <v>57</v>
      </c>
      <c r="AM7" s="11">
        <v>0</v>
      </c>
      <c r="AN7" s="12">
        <v>22</v>
      </c>
      <c r="AO7" s="4" t="s">
        <v>93</v>
      </c>
      <c r="AP7" s="14" t="s">
        <v>52</v>
      </c>
      <c r="AQ7" s="2" t="s">
        <v>99</v>
      </c>
      <c r="AR7" s="16">
        <v>1000</v>
      </c>
      <c r="AS7" s="16" t="s">
        <v>100</v>
      </c>
      <c r="AT7" s="16">
        <v>0</v>
      </c>
      <c r="AU7" s="51">
        <v>22</v>
      </c>
      <c r="AV7" s="18"/>
      <c r="AW7" s="18" t="str">
        <f t="shared" si="0"/>
        <v/>
      </c>
      <c r="AX7" s="18" t="str">
        <f t="shared" si="1"/>
        <v/>
      </c>
      <c r="AY7" s="18"/>
      <c r="AZ7" s="18"/>
      <c r="BA7" s="18"/>
      <c r="BB7" s="18"/>
      <c r="BC7" s="18">
        <f t="shared" si="2"/>
        <v>22000</v>
      </c>
      <c r="BD7" s="18">
        <f t="shared" si="3"/>
        <v>22</v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ht="8.25" customHeight="1">
      <c r="A8" s="1" t="s">
        <v>134</v>
      </c>
      <c r="B8" s="2">
        <v>8</v>
      </c>
      <c r="C8" s="3" t="s">
        <v>221</v>
      </c>
      <c r="D8" s="138">
        <v>2508</v>
      </c>
      <c r="E8" s="4" t="s">
        <v>85</v>
      </c>
      <c r="F8" s="288" t="s">
        <v>135</v>
      </c>
      <c r="G8" s="6" t="s">
        <v>147</v>
      </c>
      <c r="H8" s="289" t="s">
        <v>136</v>
      </c>
      <c r="I8" s="7" t="s">
        <v>157</v>
      </c>
      <c r="J8" s="6" t="s">
        <v>87</v>
      </c>
      <c r="K8" s="7" t="s">
        <v>108</v>
      </c>
      <c r="L8" s="126">
        <v>1</v>
      </c>
      <c r="M8" s="12" t="s">
        <v>89</v>
      </c>
      <c r="N8" s="12" t="s">
        <v>65</v>
      </c>
      <c r="O8" s="2" t="s">
        <v>168</v>
      </c>
      <c r="P8" s="56" t="s">
        <v>65</v>
      </c>
      <c r="Q8" s="9" t="s">
        <v>91</v>
      </c>
      <c r="R8" s="10" t="s">
        <v>92</v>
      </c>
      <c r="S8" s="11" t="s">
        <v>57</v>
      </c>
      <c r="T8" s="12" t="s">
        <v>57</v>
      </c>
      <c r="U8" s="12" t="s">
        <v>57</v>
      </c>
      <c r="V8" s="12" t="s">
        <v>57</v>
      </c>
      <c r="W8" s="12" t="s">
        <v>57</v>
      </c>
      <c r="X8" s="2" t="s">
        <v>57</v>
      </c>
      <c r="Y8" s="2" t="s">
        <v>57</v>
      </c>
      <c r="Z8" s="2" t="s">
        <v>57</v>
      </c>
      <c r="AA8" s="2" t="s">
        <v>57</v>
      </c>
      <c r="AB8" s="59" t="s">
        <v>57</v>
      </c>
      <c r="AC8" s="62" t="s">
        <v>57</v>
      </c>
      <c r="AD8" s="2" t="s">
        <v>57</v>
      </c>
      <c r="AE8" s="2" t="s">
        <v>57</v>
      </c>
      <c r="AF8" s="2" t="s">
        <v>57</v>
      </c>
      <c r="AG8" s="2" t="s">
        <v>57</v>
      </c>
      <c r="AH8" s="2" t="s">
        <v>57</v>
      </c>
      <c r="AI8" s="12" t="s">
        <v>57</v>
      </c>
      <c r="AJ8" s="12" t="s">
        <v>57</v>
      </c>
      <c r="AK8" s="12" t="s">
        <v>57</v>
      </c>
      <c r="AL8" s="13" t="s">
        <v>57</v>
      </c>
      <c r="AM8" s="11">
        <v>0</v>
      </c>
      <c r="AN8" s="12">
        <v>22</v>
      </c>
      <c r="AO8" s="4" t="s">
        <v>93</v>
      </c>
      <c r="AP8" s="14" t="s">
        <v>94</v>
      </c>
      <c r="AQ8" s="2" t="s">
        <v>95</v>
      </c>
      <c r="AR8" s="15">
        <v>1000</v>
      </c>
      <c r="AS8" s="16" t="s">
        <v>96</v>
      </c>
      <c r="AT8" s="15">
        <v>0</v>
      </c>
      <c r="AU8" s="17">
        <v>22</v>
      </c>
      <c r="AV8" s="18"/>
      <c r="AW8" s="18">
        <f t="shared" si="0"/>
        <v>22000</v>
      </c>
      <c r="AX8" s="18">
        <f t="shared" si="1"/>
        <v>22</v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 t="str">
        <f t="shared" si="4"/>
        <v/>
      </c>
      <c r="BG8" s="18" t="str">
        <f t="shared" si="5"/>
        <v/>
      </c>
      <c r="BH8" s="18"/>
    </row>
    <row r="9" spans="1:60" ht="8.25" customHeight="1">
      <c r="A9" s="1" t="s">
        <v>134</v>
      </c>
      <c r="B9" s="2">
        <v>8</v>
      </c>
      <c r="C9" s="3" t="s">
        <v>221</v>
      </c>
      <c r="D9" s="138">
        <v>2526</v>
      </c>
      <c r="E9" s="4" t="s">
        <v>85</v>
      </c>
      <c r="F9" s="290" t="s">
        <v>135</v>
      </c>
      <c r="G9" s="6" t="s">
        <v>147</v>
      </c>
      <c r="H9" s="291" t="s">
        <v>136</v>
      </c>
      <c r="I9" s="7" t="s">
        <v>157</v>
      </c>
      <c r="J9" s="6" t="s">
        <v>87</v>
      </c>
      <c r="K9" s="7" t="s">
        <v>108</v>
      </c>
      <c r="L9" s="126">
        <v>1</v>
      </c>
      <c r="M9" s="12" t="s">
        <v>89</v>
      </c>
      <c r="N9" s="12" t="s">
        <v>65</v>
      </c>
      <c r="O9" s="2" t="s">
        <v>168</v>
      </c>
      <c r="P9" s="56" t="s">
        <v>65</v>
      </c>
      <c r="Q9" s="9" t="s">
        <v>91</v>
      </c>
      <c r="R9" s="10" t="s">
        <v>92</v>
      </c>
      <c r="S9" s="119" t="s">
        <v>57</v>
      </c>
      <c r="T9" s="116" t="s">
        <v>57</v>
      </c>
      <c r="U9" s="116" t="s">
        <v>57</v>
      </c>
      <c r="V9" s="116" t="s">
        <v>57</v>
      </c>
      <c r="W9" s="116" t="s">
        <v>57</v>
      </c>
      <c r="X9" s="117" t="s">
        <v>57</v>
      </c>
      <c r="Y9" s="117" t="s">
        <v>57</v>
      </c>
      <c r="Z9" s="117" t="s">
        <v>57</v>
      </c>
      <c r="AA9" s="117" t="s">
        <v>57</v>
      </c>
      <c r="AB9" s="199" t="s">
        <v>57</v>
      </c>
      <c r="AC9" s="200" t="s">
        <v>57</v>
      </c>
      <c r="AD9" s="117" t="s">
        <v>57</v>
      </c>
      <c r="AE9" s="117" t="s">
        <v>57</v>
      </c>
      <c r="AF9" s="117" t="s">
        <v>57</v>
      </c>
      <c r="AG9" s="117" t="s">
        <v>57</v>
      </c>
      <c r="AH9" s="117" t="s">
        <v>57</v>
      </c>
      <c r="AI9" s="116" t="s">
        <v>57</v>
      </c>
      <c r="AJ9" s="116" t="s">
        <v>57</v>
      </c>
      <c r="AK9" s="116" t="s">
        <v>57</v>
      </c>
      <c r="AL9" s="118" t="s">
        <v>57</v>
      </c>
      <c r="AM9" s="119">
        <v>0</v>
      </c>
      <c r="AN9" s="116">
        <v>22</v>
      </c>
      <c r="AO9" s="114" t="s">
        <v>93</v>
      </c>
      <c r="AP9" s="120" t="s">
        <v>58</v>
      </c>
      <c r="AQ9" s="117" t="s">
        <v>121</v>
      </c>
      <c r="AR9" s="202">
        <v>96</v>
      </c>
      <c r="AS9" s="202" t="s">
        <v>100</v>
      </c>
      <c r="AT9" s="202">
        <v>0</v>
      </c>
      <c r="AU9" s="204">
        <v>22</v>
      </c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 t="str">
        <f t="shared" si="2"/>
        <v/>
      </c>
      <c r="BD9" s="18" t="str">
        <f t="shared" si="3"/>
        <v/>
      </c>
      <c r="BE9" s="18"/>
      <c r="BF9" s="18">
        <f t="shared" si="4"/>
        <v>2112</v>
      </c>
      <c r="BG9" s="18">
        <f t="shared" si="5"/>
        <v>22</v>
      </c>
      <c r="BH9" s="18"/>
    </row>
    <row r="10" spans="1:60" ht="8.25" customHeight="1">
      <c r="A10" s="1" t="s">
        <v>134</v>
      </c>
      <c r="B10" s="2">
        <v>8</v>
      </c>
      <c r="C10" s="3" t="s">
        <v>221</v>
      </c>
      <c r="D10" s="138">
        <v>2534</v>
      </c>
      <c r="E10" s="4" t="s">
        <v>85</v>
      </c>
      <c r="F10" s="290" t="s">
        <v>135</v>
      </c>
      <c r="G10" s="6" t="s">
        <v>147</v>
      </c>
      <c r="H10" s="291" t="s">
        <v>136</v>
      </c>
      <c r="I10" s="7" t="s">
        <v>157</v>
      </c>
      <c r="J10" s="6" t="s">
        <v>87</v>
      </c>
      <c r="K10" s="7" t="s">
        <v>108</v>
      </c>
      <c r="L10" s="126">
        <v>1</v>
      </c>
      <c r="M10" s="12" t="s">
        <v>89</v>
      </c>
      <c r="N10" s="12" t="s">
        <v>65</v>
      </c>
      <c r="O10" s="2" t="s">
        <v>168</v>
      </c>
      <c r="P10" s="56" t="s">
        <v>65</v>
      </c>
      <c r="Q10" s="9" t="s">
        <v>91</v>
      </c>
      <c r="R10" s="10" t="s">
        <v>92</v>
      </c>
      <c r="S10" s="119" t="s">
        <v>57</v>
      </c>
      <c r="T10" s="116" t="s">
        <v>57</v>
      </c>
      <c r="U10" s="116" t="s">
        <v>57</v>
      </c>
      <c r="V10" s="116" t="s">
        <v>57</v>
      </c>
      <c r="W10" s="116" t="s">
        <v>57</v>
      </c>
      <c r="X10" s="117" t="s">
        <v>57</v>
      </c>
      <c r="Y10" s="117" t="s">
        <v>57</v>
      </c>
      <c r="Z10" s="117" t="s">
        <v>57</v>
      </c>
      <c r="AA10" s="117" t="s">
        <v>57</v>
      </c>
      <c r="AB10" s="199" t="s">
        <v>57</v>
      </c>
      <c r="AC10" s="200" t="s">
        <v>57</v>
      </c>
      <c r="AD10" s="117" t="s">
        <v>57</v>
      </c>
      <c r="AE10" s="117" t="s">
        <v>57</v>
      </c>
      <c r="AF10" s="117" t="s">
        <v>57</v>
      </c>
      <c r="AG10" s="117" t="s">
        <v>57</v>
      </c>
      <c r="AH10" s="117" t="s">
        <v>57</v>
      </c>
      <c r="AI10" s="116" t="s">
        <v>57</v>
      </c>
      <c r="AJ10" s="116" t="s">
        <v>57</v>
      </c>
      <c r="AK10" s="116" t="s">
        <v>57</v>
      </c>
      <c r="AL10" s="118" t="s">
        <v>57</v>
      </c>
      <c r="AM10" s="119">
        <v>0</v>
      </c>
      <c r="AN10" s="116">
        <v>22</v>
      </c>
      <c r="AO10" s="114" t="s">
        <v>93</v>
      </c>
      <c r="AP10" s="120" t="s">
        <v>94</v>
      </c>
      <c r="AQ10" s="457" t="s">
        <v>95</v>
      </c>
      <c r="AR10" s="202">
        <v>96</v>
      </c>
      <c r="AS10" s="202" t="s">
        <v>100</v>
      </c>
      <c r="AT10" s="202">
        <v>0</v>
      </c>
      <c r="AU10" s="204">
        <v>22</v>
      </c>
      <c r="AV10" s="18"/>
      <c r="AW10" s="18">
        <f t="shared" si="0"/>
        <v>2112</v>
      </c>
      <c r="AX10" s="18">
        <f t="shared" si="1"/>
        <v>22</v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ht="8.25" customHeight="1">
      <c r="A11" s="122" t="s">
        <v>134</v>
      </c>
      <c r="B11" s="117">
        <v>8</v>
      </c>
      <c r="C11" s="125" t="s">
        <v>221</v>
      </c>
      <c r="D11" s="209">
        <v>2543</v>
      </c>
      <c r="E11" s="114" t="s">
        <v>85</v>
      </c>
      <c r="F11" s="213" t="s">
        <v>135</v>
      </c>
      <c r="G11" s="175" t="s">
        <v>147</v>
      </c>
      <c r="H11" s="214" t="s">
        <v>136</v>
      </c>
      <c r="I11" s="177" t="s">
        <v>157</v>
      </c>
      <c r="J11" s="175" t="s">
        <v>87</v>
      </c>
      <c r="K11" s="177" t="s">
        <v>108</v>
      </c>
      <c r="L11" s="180">
        <v>1</v>
      </c>
      <c r="M11" s="116" t="s">
        <v>89</v>
      </c>
      <c r="N11" s="116" t="s">
        <v>65</v>
      </c>
      <c r="O11" s="117" t="s">
        <v>168</v>
      </c>
      <c r="P11" s="179" t="s">
        <v>65</v>
      </c>
      <c r="Q11" s="123" t="s">
        <v>91</v>
      </c>
      <c r="R11" s="124" t="s">
        <v>92</v>
      </c>
      <c r="S11" s="119" t="s">
        <v>57</v>
      </c>
      <c r="T11" s="116" t="s">
        <v>57</v>
      </c>
      <c r="U11" s="116" t="s">
        <v>57</v>
      </c>
      <c r="V11" s="116" t="s">
        <v>57</v>
      </c>
      <c r="W11" s="116" t="s">
        <v>57</v>
      </c>
      <c r="X11" s="117" t="s">
        <v>57</v>
      </c>
      <c r="Y11" s="117" t="s">
        <v>57</v>
      </c>
      <c r="Z11" s="117" t="s">
        <v>57</v>
      </c>
      <c r="AA11" s="117" t="s">
        <v>57</v>
      </c>
      <c r="AB11" s="199" t="s">
        <v>57</v>
      </c>
      <c r="AC11" s="200" t="s">
        <v>57</v>
      </c>
      <c r="AD11" s="117" t="s">
        <v>57</v>
      </c>
      <c r="AE11" s="117" t="s">
        <v>57</v>
      </c>
      <c r="AF11" s="117" t="s">
        <v>57</v>
      </c>
      <c r="AG11" s="117" t="s">
        <v>57</v>
      </c>
      <c r="AH11" s="117" t="s">
        <v>57</v>
      </c>
      <c r="AI11" s="116" t="s">
        <v>57</v>
      </c>
      <c r="AJ11" s="116" t="s">
        <v>57</v>
      </c>
      <c r="AK11" s="116" t="s">
        <v>57</v>
      </c>
      <c r="AL11" s="118" t="s">
        <v>57</v>
      </c>
      <c r="AM11" s="119">
        <v>0</v>
      </c>
      <c r="AN11" s="116">
        <v>22</v>
      </c>
      <c r="AO11" s="114" t="s">
        <v>93</v>
      </c>
      <c r="AP11" s="120" t="s">
        <v>52</v>
      </c>
      <c r="AQ11" s="117" t="s">
        <v>155</v>
      </c>
      <c r="AR11" s="202"/>
      <c r="AS11" s="202"/>
      <c r="AT11" s="202"/>
      <c r="AU11" s="204"/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 t="str">
        <f t="shared" si="4"/>
        <v/>
      </c>
      <c r="BG11" s="18" t="str">
        <f t="shared" si="5"/>
        <v/>
      </c>
      <c r="BH11" s="18"/>
    </row>
    <row r="12" spans="1:60" ht="8.25" customHeight="1">
      <c r="A12" s="1"/>
      <c r="B12" s="2"/>
      <c r="C12" s="3"/>
      <c r="D12" s="138"/>
      <c r="E12" s="4"/>
      <c r="F12" s="290"/>
      <c r="G12" s="6"/>
      <c r="H12" s="291"/>
      <c r="I12" s="7"/>
      <c r="J12" s="6"/>
      <c r="K12" s="7"/>
      <c r="L12" s="126"/>
      <c r="M12" s="12"/>
      <c r="N12" s="12"/>
      <c r="O12" s="2"/>
      <c r="P12" s="56"/>
      <c r="Q12" s="9"/>
      <c r="R12" s="10"/>
      <c r="S12" s="11"/>
      <c r="T12" s="12"/>
      <c r="U12" s="12"/>
      <c r="V12" s="12"/>
      <c r="W12" s="12"/>
      <c r="X12" s="2"/>
      <c r="Y12" s="2"/>
      <c r="Z12" s="2"/>
      <c r="AA12" s="2"/>
      <c r="AB12" s="59"/>
      <c r="AC12" s="62"/>
      <c r="AD12" s="2"/>
      <c r="AE12" s="2"/>
      <c r="AF12" s="2"/>
      <c r="AG12" s="2"/>
      <c r="AH12" s="2"/>
      <c r="AI12" s="12"/>
      <c r="AJ12" s="12"/>
      <c r="AK12" s="12"/>
      <c r="AL12" s="13"/>
      <c r="AM12" s="11"/>
      <c r="AN12" s="12"/>
      <c r="AO12" s="4"/>
      <c r="AP12" s="14"/>
      <c r="AQ12" s="2"/>
      <c r="AR12" s="16"/>
      <c r="AS12" s="16"/>
      <c r="AT12" s="16"/>
      <c r="AU12" s="51"/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 t="str">
        <f t="shared" si="2"/>
        <v/>
      </c>
      <c r="BD12" s="18" t="str">
        <f t="shared" si="3"/>
        <v/>
      </c>
      <c r="BE12" s="18"/>
      <c r="BF12" s="18" t="str">
        <f t="shared" si="4"/>
        <v/>
      </c>
      <c r="BG12" s="18" t="str">
        <f t="shared" si="5"/>
        <v/>
      </c>
      <c r="BH12" s="18"/>
    </row>
    <row r="13" spans="1:60" ht="8.25" customHeight="1">
      <c r="A13" s="1" t="s">
        <v>134</v>
      </c>
      <c r="B13" s="2">
        <v>18</v>
      </c>
      <c r="C13" s="3" t="s">
        <v>171</v>
      </c>
      <c r="D13" s="138">
        <v>2517</v>
      </c>
      <c r="E13" s="4" t="s">
        <v>85</v>
      </c>
      <c r="F13" s="5" t="s">
        <v>169</v>
      </c>
      <c r="G13" s="6" t="s">
        <v>147</v>
      </c>
      <c r="H13" s="7" t="s">
        <v>170</v>
      </c>
      <c r="I13" s="7" t="s">
        <v>138</v>
      </c>
      <c r="J13" s="6" t="s">
        <v>65</v>
      </c>
      <c r="K13" s="7" t="s">
        <v>152</v>
      </c>
      <c r="L13" s="126">
        <v>1</v>
      </c>
      <c r="M13" s="12" t="s">
        <v>144</v>
      </c>
      <c r="N13" s="12" t="s">
        <v>65</v>
      </c>
      <c r="O13" s="2" t="s">
        <v>139</v>
      </c>
      <c r="P13" s="56" t="s">
        <v>65</v>
      </c>
      <c r="Q13" s="9" t="s">
        <v>91</v>
      </c>
      <c r="R13" s="10" t="s">
        <v>92</v>
      </c>
      <c r="S13" s="11" t="s">
        <v>57</v>
      </c>
      <c r="T13" s="12" t="s">
        <v>57</v>
      </c>
      <c r="U13" s="12" t="s">
        <v>57</v>
      </c>
      <c r="V13" s="12" t="s">
        <v>57</v>
      </c>
      <c r="W13" s="12" t="s">
        <v>57</v>
      </c>
      <c r="X13" s="2" t="s">
        <v>57</v>
      </c>
      <c r="Y13" s="2" t="s">
        <v>57</v>
      </c>
      <c r="Z13" s="2" t="s">
        <v>57</v>
      </c>
      <c r="AA13" s="2" t="s">
        <v>57</v>
      </c>
      <c r="AB13" s="59" t="s">
        <v>57</v>
      </c>
      <c r="AC13" s="62" t="s">
        <v>57</v>
      </c>
      <c r="AD13" s="2" t="s">
        <v>57</v>
      </c>
      <c r="AE13" s="2" t="s">
        <v>57</v>
      </c>
      <c r="AF13" s="2" t="s">
        <v>57</v>
      </c>
      <c r="AG13" s="2" t="s">
        <v>57</v>
      </c>
      <c r="AH13" s="2" t="s">
        <v>57</v>
      </c>
      <c r="AI13" s="12" t="s">
        <v>57</v>
      </c>
      <c r="AJ13" s="12" t="s">
        <v>57</v>
      </c>
      <c r="AK13" s="12" t="s">
        <v>57</v>
      </c>
      <c r="AL13" s="13" t="s">
        <v>57</v>
      </c>
      <c r="AM13" s="11">
        <v>0</v>
      </c>
      <c r="AN13" s="12">
        <v>22</v>
      </c>
      <c r="AO13" s="4" t="s">
        <v>93</v>
      </c>
      <c r="AP13" s="14" t="s">
        <v>52</v>
      </c>
      <c r="AQ13" s="2" t="s">
        <v>99</v>
      </c>
      <c r="AR13" s="15">
        <v>1000</v>
      </c>
      <c r="AS13" s="16" t="s">
        <v>100</v>
      </c>
      <c r="AT13" s="15">
        <v>0</v>
      </c>
      <c r="AU13" s="17">
        <v>22</v>
      </c>
      <c r="AV13" s="18"/>
      <c r="AW13" s="18" t="str">
        <f t="shared" si="0"/>
        <v/>
      </c>
      <c r="AX13" s="18" t="str">
        <f t="shared" si="1"/>
        <v/>
      </c>
      <c r="AY13" s="18"/>
      <c r="AZ13" s="18"/>
      <c r="BA13" s="18"/>
      <c r="BB13" s="18"/>
      <c r="BC13" s="18">
        <f t="shared" si="2"/>
        <v>22000</v>
      </c>
      <c r="BD13" s="18">
        <f t="shared" si="3"/>
        <v>22</v>
      </c>
      <c r="BE13" s="18"/>
      <c r="BF13" s="18" t="str">
        <f t="shared" si="4"/>
        <v/>
      </c>
      <c r="BG13" s="18" t="str">
        <f t="shared" si="5"/>
        <v/>
      </c>
      <c r="BH13" s="18"/>
    </row>
    <row r="14" spans="1:60" ht="8.25" customHeight="1">
      <c r="A14" s="1"/>
      <c r="B14" s="2"/>
      <c r="C14" s="3"/>
      <c r="D14" s="138"/>
      <c r="E14" s="4"/>
      <c r="F14" s="64"/>
      <c r="G14" s="6"/>
      <c r="H14" s="110"/>
      <c r="I14" s="7"/>
      <c r="J14" s="6"/>
      <c r="K14" s="7"/>
      <c r="L14" s="69"/>
      <c r="M14" s="12"/>
      <c r="N14" s="12"/>
      <c r="O14" s="2"/>
      <c r="P14" s="56"/>
      <c r="Q14" s="9"/>
      <c r="R14" s="10"/>
      <c r="S14" s="11"/>
      <c r="T14" s="12"/>
      <c r="U14" s="12"/>
      <c r="V14" s="12"/>
      <c r="W14" s="12"/>
      <c r="X14" s="2"/>
      <c r="Y14" s="2"/>
      <c r="Z14" s="2"/>
      <c r="AA14" s="2"/>
      <c r="AB14" s="59"/>
      <c r="AC14" s="62"/>
      <c r="AD14" s="2"/>
      <c r="AE14" s="2"/>
      <c r="AF14" s="2"/>
      <c r="AG14" s="2"/>
      <c r="AH14" s="2"/>
      <c r="AI14" s="12"/>
      <c r="AJ14" s="12"/>
      <c r="AK14" s="12"/>
      <c r="AL14" s="13"/>
      <c r="AM14" s="11"/>
      <c r="AN14" s="12"/>
      <c r="AO14" s="4"/>
      <c r="AP14" s="14"/>
      <c r="AQ14" s="2"/>
      <c r="AR14" s="15"/>
      <c r="AS14" s="16"/>
      <c r="AT14" s="15"/>
      <c r="AU14" s="17"/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 t="str">
        <f t="shared" si="4"/>
        <v/>
      </c>
      <c r="BG14" s="18" t="str">
        <f t="shared" si="5"/>
        <v/>
      </c>
      <c r="BH14" s="18"/>
    </row>
    <row r="15" spans="1:60" ht="8.25" customHeight="1">
      <c r="A15" s="1"/>
      <c r="B15" s="2"/>
      <c r="C15" s="3"/>
      <c r="D15" s="138"/>
      <c r="E15" s="4"/>
      <c r="F15" s="64"/>
      <c r="G15" s="6"/>
      <c r="H15" s="110"/>
      <c r="I15" s="7"/>
      <c r="J15" s="6"/>
      <c r="K15" s="7"/>
      <c r="L15" s="69"/>
      <c r="M15" s="12"/>
      <c r="N15" s="12"/>
      <c r="O15" s="2"/>
      <c r="P15" s="56"/>
      <c r="Q15" s="9"/>
      <c r="R15" s="10"/>
      <c r="S15" s="11"/>
      <c r="T15" s="12"/>
      <c r="U15" s="12"/>
      <c r="V15" s="12"/>
      <c r="W15" s="12"/>
      <c r="X15" s="2"/>
      <c r="Y15" s="2"/>
      <c r="Z15" s="2"/>
      <c r="AA15" s="2"/>
      <c r="AB15" s="59"/>
      <c r="AC15" s="62"/>
      <c r="AD15" s="2"/>
      <c r="AE15" s="2"/>
      <c r="AF15" s="2"/>
      <c r="AG15" s="2"/>
      <c r="AH15" s="2"/>
      <c r="AI15" s="12"/>
      <c r="AJ15" s="12"/>
      <c r="AK15" s="12"/>
      <c r="AL15" s="13"/>
      <c r="AM15" s="11"/>
      <c r="AN15" s="12"/>
      <c r="AO15" s="4"/>
      <c r="AP15" s="14"/>
      <c r="AQ15" s="2"/>
      <c r="AR15" s="15"/>
      <c r="AS15" s="16"/>
      <c r="AT15" s="15"/>
      <c r="AU15" s="17"/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 t="str">
        <f t="shared" si="2"/>
        <v/>
      </c>
      <c r="BD15" s="18" t="str">
        <f t="shared" si="3"/>
        <v/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ht="8.25" customHeight="1">
      <c r="A16" s="1"/>
      <c r="B16" s="2"/>
      <c r="C16" s="3"/>
      <c r="D16" s="138"/>
      <c r="E16" s="4"/>
      <c r="F16" s="64"/>
      <c r="G16" s="6"/>
      <c r="H16" s="110"/>
      <c r="I16" s="7"/>
      <c r="J16" s="6"/>
      <c r="K16" s="7"/>
      <c r="L16" s="69"/>
      <c r="M16" s="12"/>
      <c r="N16" s="12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 t="str">
        <f t="shared" si="4"/>
        <v/>
      </c>
      <c r="BG16" s="18" t="str">
        <f t="shared" si="5"/>
        <v/>
      </c>
      <c r="BH16" s="18"/>
    </row>
    <row r="17" spans="1:60" ht="8.25" customHeight="1">
      <c r="A17" s="1" t="s">
        <v>137</v>
      </c>
      <c r="B17" s="2">
        <v>5</v>
      </c>
      <c r="C17" s="294" t="s">
        <v>200</v>
      </c>
      <c r="D17" s="138">
        <v>2508</v>
      </c>
      <c r="E17" s="4" t="s">
        <v>85</v>
      </c>
      <c r="F17" s="64">
        <v>81</v>
      </c>
      <c r="G17" s="6" t="s">
        <v>147</v>
      </c>
      <c r="H17" s="110">
        <v>93</v>
      </c>
      <c r="I17" s="7" t="s">
        <v>148</v>
      </c>
      <c r="J17" s="6" t="s">
        <v>65</v>
      </c>
      <c r="K17" s="7" t="s">
        <v>149</v>
      </c>
      <c r="L17" s="126">
        <v>1</v>
      </c>
      <c r="M17" s="12" t="s">
        <v>89</v>
      </c>
      <c r="N17" s="12" t="s">
        <v>150</v>
      </c>
      <c r="O17" s="2" t="s">
        <v>151</v>
      </c>
      <c r="P17" s="56" t="s">
        <v>65</v>
      </c>
      <c r="Q17" s="9" t="s">
        <v>91</v>
      </c>
      <c r="R17" s="10" t="s">
        <v>129</v>
      </c>
      <c r="S17" s="11">
        <v>0</v>
      </c>
      <c r="T17" s="12">
        <v>0</v>
      </c>
      <c r="U17" s="12">
        <v>0</v>
      </c>
      <c r="V17" s="12">
        <v>0</v>
      </c>
      <c r="W17" s="12">
        <v>0</v>
      </c>
      <c r="X17" s="2">
        <v>0</v>
      </c>
      <c r="Y17" s="2" t="s">
        <v>57</v>
      </c>
      <c r="Z17" s="2" t="s">
        <v>57</v>
      </c>
      <c r="AA17" s="2">
        <v>0</v>
      </c>
      <c r="AB17" s="59">
        <v>0</v>
      </c>
      <c r="AC17" s="62">
        <v>0</v>
      </c>
      <c r="AD17" s="2">
        <v>0</v>
      </c>
      <c r="AE17" s="2">
        <v>0</v>
      </c>
      <c r="AF17" s="2">
        <v>0</v>
      </c>
      <c r="AG17" s="2">
        <v>14</v>
      </c>
      <c r="AH17" s="2">
        <v>4</v>
      </c>
      <c r="AI17" s="12" t="s">
        <v>57</v>
      </c>
      <c r="AJ17" s="12" t="s">
        <v>57</v>
      </c>
      <c r="AK17" s="12">
        <v>0</v>
      </c>
      <c r="AL17" s="13">
        <v>0</v>
      </c>
      <c r="AM17" s="11">
        <v>0</v>
      </c>
      <c r="AN17" s="12">
        <v>22</v>
      </c>
      <c r="AO17" s="4" t="s">
        <v>93</v>
      </c>
      <c r="AP17" s="14" t="s">
        <v>94</v>
      </c>
      <c r="AQ17" s="248" t="s">
        <v>122</v>
      </c>
      <c r="AR17" s="15">
        <v>500</v>
      </c>
      <c r="AS17" s="16" t="s">
        <v>96</v>
      </c>
      <c r="AT17" s="15">
        <v>0</v>
      </c>
      <c r="AU17" s="17">
        <v>22</v>
      </c>
      <c r="AV17" s="18"/>
      <c r="AW17" s="18">
        <f t="shared" si="0"/>
        <v>11000</v>
      </c>
      <c r="AX17" s="18">
        <f t="shared" si="1"/>
        <v>22</v>
      </c>
      <c r="AY17" s="18"/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ht="8.25" customHeight="1">
      <c r="A18" s="1" t="s">
        <v>137</v>
      </c>
      <c r="B18" s="2">
        <v>5</v>
      </c>
      <c r="C18" s="294" t="s">
        <v>200</v>
      </c>
      <c r="D18" s="138">
        <v>2513</v>
      </c>
      <c r="E18" s="4" t="s">
        <v>85</v>
      </c>
      <c r="F18" s="64">
        <v>81</v>
      </c>
      <c r="G18" s="6" t="s">
        <v>147</v>
      </c>
      <c r="H18" s="110">
        <v>93</v>
      </c>
      <c r="I18" s="7" t="s">
        <v>148</v>
      </c>
      <c r="J18" s="6" t="s">
        <v>65</v>
      </c>
      <c r="K18" s="7" t="s">
        <v>149</v>
      </c>
      <c r="L18" s="126">
        <v>1</v>
      </c>
      <c r="M18" s="12" t="s">
        <v>89</v>
      </c>
      <c r="N18" s="12" t="s">
        <v>150</v>
      </c>
      <c r="O18" s="2" t="s">
        <v>151</v>
      </c>
      <c r="P18" s="56" t="s">
        <v>65</v>
      </c>
      <c r="Q18" s="9" t="s">
        <v>91</v>
      </c>
      <c r="R18" s="10" t="s">
        <v>129</v>
      </c>
      <c r="S18" s="11">
        <v>0</v>
      </c>
      <c r="T18" s="12">
        <v>0</v>
      </c>
      <c r="U18" s="12">
        <v>0</v>
      </c>
      <c r="V18" s="12">
        <v>0</v>
      </c>
      <c r="W18" s="12">
        <v>0</v>
      </c>
      <c r="X18" s="2">
        <v>0</v>
      </c>
      <c r="Y18" s="2" t="s">
        <v>57</v>
      </c>
      <c r="Z18" s="2" t="s">
        <v>57</v>
      </c>
      <c r="AA18" s="2">
        <v>0</v>
      </c>
      <c r="AB18" s="59">
        <v>0</v>
      </c>
      <c r="AC18" s="6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12" t="s">
        <v>57</v>
      </c>
      <c r="AJ18" s="12" t="s">
        <v>57</v>
      </c>
      <c r="AK18" s="12">
        <v>0</v>
      </c>
      <c r="AL18" s="13">
        <v>0</v>
      </c>
      <c r="AM18" s="11">
        <v>0</v>
      </c>
      <c r="AN18" s="12">
        <v>22</v>
      </c>
      <c r="AO18" s="4" t="s">
        <v>93</v>
      </c>
      <c r="AP18" s="14" t="s">
        <v>58</v>
      </c>
      <c r="AQ18" s="2" t="s">
        <v>121</v>
      </c>
      <c r="AR18" s="16">
        <v>96</v>
      </c>
      <c r="AS18" s="16" t="s">
        <v>100</v>
      </c>
      <c r="AT18" s="16">
        <v>0</v>
      </c>
      <c r="AU18" s="51">
        <v>22</v>
      </c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>
        <f t="shared" si="4"/>
        <v>2112</v>
      </c>
      <c r="BG18" s="18">
        <f t="shared" si="5"/>
        <v>22</v>
      </c>
      <c r="BH18" s="18"/>
    </row>
    <row r="19" spans="1:60" ht="8.25" customHeight="1">
      <c r="A19" s="1" t="s">
        <v>137</v>
      </c>
      <c r="B19" s="2">
        <v>5</v>
      </c>
      <c r="C19" s="294" t="s">
        <v>200</v>
      </c>
      <c r="D19" s="138">
        <v>2517</v>
      </c>
      <c r="E19" s="4" t="s">
        <v>85</v>
      </c>
      <c r="F19" s="64">
        <v>81</v>
      </c>
      <c r="G19" s="6" t="s">
        <v>147</v>
      </c>
      <c r="H19" s="110">
        <v>93</v>
      </c>
      <c r="I19" s="7" t="s">
        <v>148</v>
      </c>
      <c r="J19" s="6" t="s">
        <v>65</v>
      </c>
      <c r="K19" s="7" t="s">
        <v>149</v>
      </c>
      <c r="L19" s="126">
        <v>1</v>
      </c>
      <c r="M19" s="12" t="s">
        <v>89</v>
      </c>
      <c r="N19" s="12" t="s">
        <v>150</v>
      </c>
      <c r="O19" s="2" t="s">
        <v>151</v>
      </c>
      <c r="P19" s="56" t="s">
        <v>65</v>
      </c>
      <c r="Q19" s="9" t="s">
        <v>91</v>
      </c>
      <c r="R19" s="10" t="s">
        <v>129</v>
      </c>
      <c r="S19" s="11">
        <v>0</v>
      </c>
      <c r="T19" s="12">
        <v>0</v>
      </c>
      <c r="U19" s="12">
        <v>0</v>
      </c>
      <c r="V19" s="12">
        <v>0</v>
      </c>
      <c r="W19" s="12">
        <v>0</v>
      </c>
      <c r="X19" s="2">
        <v>0</v>
      </c>
      <c r="Y19" s="2" t="s">
        <v>57</v>
      </c>
      <c r="Z19" s="2" t="s">
        <v>57</v>
      </c>
      <c r="AA19" s="2">
        <v>0</v>
      </c>
      <c r="AB19" s="59">
        <v>0</v>
      </c>
      <c r="AC19" s="6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12" t="s">
        <v>57</v>
      </c>
      <c r="AJ19" s="12" t="s">
        <v>57</v>
      </c>
      <c r="AK19" s="12">
        <v>0</v>
      </c>
      <c r="AL19" s="13">
        <v>0</v>
      </c>
      <c r="AM19" s="11">
        <v>0</v>
      </c>
      <c r="AN19" s="12">
        <v>22</v>
      </c>
      <c r="AO19" s="4" t="s">
        <v>93</v>
      </c>
      <c r="AP19" s="14" t="s">
        <v>52</v>
      </c>
      <c r="AQ19" s="2" t="s">
        <v>99</v>
      </c>
      <c r="AR19" s="15">
        <v>1000</v>
      </c>
      <c r="AS19" s="16" t="s">
        <v>100</v>
      </c>
      <c r="AT19" s="15">
        <v>0</v>
      </c>
      <c r="AU19" s="17">
        <v>22</v>
      </c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>
        <f t="shared" si="2"/>
        <v>22000</v>
      </c>
      <c r="BD19" s="18">
        <f t="shared" si="3"/>
        <v>22</v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ht="8.25" customHeight="1">
      <c r="A20" s="1" t="s">
        <v>137</v>
      </c>
      <c r="B20" s="2">
        <v>5</v>
      </c>
      <c r="C20" s="294" t="s">
        <v>200</v>
      </c>
      <c r="D20" s="138">
        <v>2526</v>
      </c>
      <c r="E20" s="4" t="s">
        <v>85</v>
      </c>
      <c r="F20" s="64">
        <v>81</v>
      </c>
      <c r="G20" s="6" t="s">
        <v>147</v>
      </c>
      <c r="H20" s="110">
        <v>93</v>
      </c>
      <c r="I20" s="7" t="s">
        <v>148</v>
      </c>
      <c r="J20" s="6" t="s">
        <v>65</v>
      </c>
      <c r="K20" s="7" t="s">
        <v>149</v>
      </c>
      <c r="L20" s="126">
        <v>1</v>
      </c>
      <c r="M20" s="12" t="s">
        <v>89</v>
      </c>
      <c r="N20" s="12" t="s">
        <v>150</v>
      </c>
      <c r="O20" s="2" t="s">
        <v>151</v>
      </c>
      <c r="P20" s="56" t="s">
        <v>65</v>
      </c>
      <c r="Q20" s="9" t="s">
        <v>91</v>
      </c>
      <c r="R20" s="10" t="s">
        <v>129</v>
      </c>
      <c r="S20" s="119">
        <v>0</v>
      </c>
      <c r="T20" s="116">
        <v>0</v>
      </c>
      <c r="U20" s="116">
        <v>0</v>
      </c>
      <c r="V20" s="116">
        <v>0</v>
      </c>
      <c r="W20" s="116">
        <v>2</v>
      </c>
      <c r="X20" s="117">
        <v>5</v>
      </c>
      <c r="Y20" s="117" t="s">
        <v>57</v>
      </c>
      <c r="Z20" s="117" t="s">
        <v>57</v>
      </c>
      <c r="AA20" s="117">
        <v>0</v>
      </c>
      <c r="AB20" s="199">
        <v>0</v>
      </c>
      <c r="AC20" s="200">
        <v>0</v>
      </c>
      <c r="AD20" s="117">
        <v>0</v>
      </c>
      <c r="AE20" s="117">
        <v>0</v>
      </c>
      <c r="AF20" s="117">
        <v>0</v>
      </c>
      <c r="AG20" s="117">
        <v>2</v>
      </c>
      <c r="AH20" s="117">
        <v>5</v>
      </c>
      <c r="AI20" s="116" t="s">
        <v>57</v>
      </c>
      <c r="AJ20" s="116" t="s">
        <v>57</v>
      </c>
      <c r="AK20" s="116">
        <v>0</v>
      </c>
      <c r="AL20" s="118">
        <v>0</v>
      </c>
      <c r="AM20" s="119">
        <v>0</v>
      </c>
      <c r="AN20" s="116">
        <v>22</v>
      </c>
      <c r="AO20" s="114" t="s">
        <v>93</v>
      </c>
      <c r="AP20" s="120" t="s">
        <v>58</v>
      </c>
      <c r="AQ20" s="117" t="s">
        <v>121</v>
      </c>
      <c r="AR20" s="201">
        <v>96</v>
      </c>
      <c r="AS20" s="202" t="s">
        <v>100</v>
      </c>
      <c r="AT20" s="201">
        <v>0</v>
      </c>
      <c r="AU20" s="203">
        <v>22</v>
      </c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>
        <f t="shared" si="4"/>
        <v>2112</v>
      </c>
      <c r="BG20" s="18">
        <f t="shared" si="5"/>
        <v>22</v>
      </c>
      <c r="BH20" s="18"/>
    </row>
    <row r="21" spans="1:60" ht="8.25" customHeight="1">
      <c r="A21" s="1" t="s">
        <v>137</v>
      </c>
      <c r="B21" s="2">
        <v>5</v>
      </c>
      <c r="C21" s="294" t="s">
        <v>200</v>
      </c>
      <c r="D21" s="138">
        <v>2530</v>
      </c>
      <c r="E21" s="4" t="s">
        <v>85</v>
      </c>
      <c r="F21" s="64">
        <v>81</v>
      </c>
      <c r="G21" s="6" t="s">
        <v>147</v>
      </c>
      <c r="H21" s="110">
        <v>93</v>
      </c>
      <c r="I21" s="7" t="s">
        <v>148</v>
      </c>
      <c r="J21" s="6" t="s">
        <v>65</v>
      </c>
      <c r="K21" s="7" t="s">
        <v>149</v>
      </c>
      <c r="L21" s="126">
        <v>1</v>
      </c>
      <c r="M21" s="12" t="s">
        <v>89</v>
      </c>
      <c r="N21" s="12" t="s">
        <v>150</v>
      </c>
      <c r="O21" s="2" t="s">
        <v>151</v>
      </c>
      <c r="P21" s="56" t="s">
        <v>65</v>
      </c>
      <c r="Q21" s="9" t="s">
        <v>91</v>
      </c>
      <c r="R21" s="10" t="s">
        <v>129</v>
      </c>
      <c r="S21" s="119">
        <v>0</v>
      </c>
      <c r="T21" s="116">
        <v>0</v>
      </c>
      <c r="U21" s="116">
        <v>0</v>
      </c>
      <c r="V21" s="116">
        <v>0</v>
      </c>
      <c r="W21" s="116">
        <v>0</v>
      </c>
      <c r="X21" s="117">
        <v>0</v>
      </c>
      <c r="Y21" s="117" t="s">
        <v>57</v>
      </c>
      <c r="Z21" s="117" t="s">
        <v>57</v>
      </c>
      <c r="AA21" s="117">
        <v>0</v>
      </c>
      <c r="AB21" s="199">
        <v>0</v>
      </c>
      <c r="AC21" s="200">
        <v>0</v>
      </c>
      <c r="AD21" s="117">
        <v>0</v>
      </c>
      <c r="AE21" s="117">
        <v>0</v>
      </c>
      <c r="AF21" s="117">
        <v>0</v>
      </c>
      <c r="AG21" s="117">
        <v>0</v>
      </c>
      <c r="AH21" s="117">
        <v>0</v>
      </c>
      <c r="AI21" s="116" t="s">
        <v>57</v>
      </c>
      <c r="AJ21" s="116" t="s">
        <v>57</v>
      </c>
      <c r="AK21" s="116">
        <v>0</v>
      </c>
      <c r="AL21" s="118">
        <v>0</v>
      </c>
      <c r="AM21" s="119">
        <v>0</v>
      </c>
      <c r="AN21" s="116">
        <v>22</v>
      </c>
      <c r="AO21" s="114" t="s">
        <v>93</v>
      </c>
      <c r="AP21" s="120" t="s">
        <v>52</v>
      </c>
      <c r="AQ21" s="117" t="s">
        <v>99</v>
      </c>
      <c r="AR21" s="201">
        <v>1000</v>
      </c>
      <c r="AS21" s="202" t="s">
        <v>100</v>
      </c>
      <c r="AT21" s="201">
        <v>0</v>
      </c>
      <c r="AU21" s="203">
        <v>22</v>
      </c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>
        <f t="shared" si="2"/>
        <v>22000</v>
      </c>
      <c r="BD21" s="18">
        <f t="shared" si="3"/>
        <v>22</v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ht="8.25" customHeight="1">
      <c r="A22" s="1" t="s">
        <v>137</v>
      </c>
      <c r="B22" s="2">
        <v>5</v>
      </c>
      <c r="C22" s="294" t="s">
        <v>200</v>
      </c>
      <c r="D22" s="138">
        <v>2534</v>
      </c>
      <c r="E22" s="4" t="s">
        <v>85</v>
      </c>
      <c r="F22" s="64">
        <v>81</v>
      </c>
      <c r="G22" s="6" t="s">
        <v>147</v>
      </c>
      <c r="H22" s="110">
        <v>93</v>
      </c>
      <c r="I22" s="7" t="s">
        <v>148</v>
      </c>
      <c r="J22" s="6" t="s">
        <v>65</v>
      </c>
      <c r="K22" s="7" t="s">
        <v>149</v>
      </c>
      <c r="L22" s="126">
        <v>1</v>
      </c>
      <c r="M22" s="12" t="s">
        <v>89</v>
      </c>
      <c r="N22" s="12" t="s">
        <v>150</v>
      </c>
      <c r="O22" s="2" t="s">
        <v>151</v>
      </c>
      <c r="P22" s="56" t="s">
        <v>65</v>
      </c>
      <c r="Q22" s="9" t="s">
        <v>91</v>
      </c>
      <c r="R22" s="10" t="s">
        <v>129</v>
      </c>
      <c r="S22" s="119">
        <v>0</v>
      </c>
      <c r="T22" s="116">
        <v>0</v>
      </c>
      <c r="U22" s="116">
        <v>0</v>
      </c>
      <c r="V22" s="116">
        <v>0</v>
      </c>
      <c r="W22" s="116">
        <v>0</v>
      </c>
      <c r="X22" s="117">
        <v>0</v>
      </c>
      <c r="Y22" s="117" t="s">
        <v>57</v>
      </c>
      <c r="Z22" s="117" t="s">
        <v>57</v>
      </c>
      <c r="AA22" s="117">
        <v>0</v>
      </c>
      <c r="AB22" s="199">
        <v>0</v>
      </c>
      <c r="AC22" s="200">
        <v>0</v>
      </c>
      <c r="AD22" s="117">
        <v>0</v>
      </c>
      <c r="AE22" s="117">
        <v>0</v>
      </c>
      <c r="AF22" s="117">
        <v>0</v>
      </c>
      <c r="AG22" s="117">
        <v>0</v>
      </c>
      <c r="AH22" s="117">
        <v>0</v>
      </c>
      <c r="AI22" s="116" t="s">
        <v>57</v>
      </c>
      <c r="AJ22" s="116" t="s">
        <v>57</v>
      </c>
      <c r="AK22" s="116">
        <v>0</v>
      </c>
      <c r="AL22" s="118">
        <v>0</v>
      </c>
      <c r="AM22" s="119">
        <v>0</v>
      </c>
      <c r="AN22" s="116">
        <v>22</v>
      </c>
      <c r="AO22" s="114" t="s">
        <v>93</v>
      </c>
      <c r="AP22" s="120" t="s">
        <v>94</v>
      </c>
      <c r="AQ22" s="117" t="s">
        <v>229</v>
      </c>
      <c r="AR22" s="201">
        <v>500</v>
      </c>
      <c r="AS22" s="202" t="s">
        <v>96</v>
      </c>
      <c r="AT22" s="201">
        <v>0</v>
      </c>
      <c r="AU22" s="203">
        <v>22</v>
      </c>
      <c r="AV22" s="18"/>
      <c r="AW22" s="18">
        <f t="shared" si="0"/>
        <v>11000</v>
      </c>
      <c r="AX22" s="18">
        <f t="shared" si="1"/>
        <v>22</v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ht="8.25" customHeight="1">
      <c r="A23" s="1" t="s">
        <v>137</v>
      </c>
      <c r="B23" s="2">
        <v>5</v>
      </c>
      <c r="C23" s="294" t="s">
        <v>200</v>
      </c>
      <c r="D23" s="138">
        <v>2539</v>
      </c>
      <c r="E23" s="4" t="s">
        <v>85</v>
      </c>
      <c r="F23" s="64">
        <v>81</v>
      </c>
      <c r="G23" s="6" t="s">
        <v>147</v>
      </c>
      <c r="H23" s="110">
        <v>93</v>
      </c>
      <c r="I23" s="7" t="s">
        <v>148</v>
      </c>
      <c r="J23" s="6" t="s">
        <v>65</v>
      </c>
      <c r="K23" s="7" t="s">
        <v>149</v>
      </c>
      <c r="L23" s="126">
        <v>1</v>
      </c>
      <c r="M23" s="12" t="s">
        <v>89</v>
      </c>
      <c r="N23" s="12" t="s">
        <v>150</v>
      </c>
      <c r="O23" s="2" t="s">
        <v>151</v>
      </c>
      <c r="P23" s="56" t="s">
        <v>65</v>
      </c>
      <c r="Q23" s="9" t="s">
        <v>91</v>
      </c>
      <c r="R23" s="10" t="s">
        <v>129</v>
      </c>
      <c r="S23" s="119">
        <v>0</v>
      </c>
      <c r="T23" s="116">
        <v>0</v>
      </c>
      <c r="U23" s="116">
        <v>0</v>
      </c>
      <c r="V23" s="116">
        <v>0</v>
      </c>
      <c r="W23" s="116">
        <v>0</v>
      </c>
      <c r="X23" s="117">
        <v>0</v>
      </c>
      <c r="Y23" s="117" t="s">
        <v>57</v>
      </c>
      <c r="Z23" s="117" t="s">
        <v>57</v>
      </c>
      <c r="AA23" s="117">
        <v>0</v>
      </c>
      <c r="AB23" s="199">
        <v>0</v>
      </c>
      <c r="AC23" s="200">
        <v>0</v>
      </c>
      <c r="AD23" s="117">
        <v>0</v>
      </c>
      <c r="AE23" s="117">
        <v>0</v>
      </c>
      <c r="AF23" s="117">
        <v>0</v>
      </c>
      <c r="AG23" s="117">
        <v>0</v>
      </c>
      <c r="AH23" s="117">
        <v>0</v>
      </c>
      <c r="AI23" s="116" t="s">
        <v>57</v>
      </c>
      <c r="AJ23" s="116" t="s">
        <v>57</v>
      </c>
      <c r="AK23" s="116">
        <v>0</v>
      </c>
      <c r="AL23" s="118">
        <v>0</v>
      </c>
      <c r="AM23" s="119">
        <v>0</v>
      </c>
      <c r="AN23" s="116">
        <v>22</v>
      </c>
      <c r="AO23" s="114" t="s">
        <v>93</v>
      </c>
      <c r="AP23" s="120" t="s">
        <v>58</v>
      </c>
      <c r="AQ23" s="117" t="s">
        <v>121</v>
      </c>
      <c r="AR23" s="201">
        <v>96</v>
      </c>
      <c r="AS23" s="202" t="s">
        <v>100</v>
      </c>
      <c r="AT23" s="201">
        <v>0</v>
      </c>
      <c r="AU23" s="203">
        <v>22</v>
      </c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>
        <f t="shared" si="4"/>
        <v>2112</v>
      </c>
      <c r="BG23" s="18">
        <f t="shared" si="5"/>
        <v>22</v>
      </c>
      <c r="BH23" s="18"/>
    </row>
    <row r="24" spans="1:60" ht="8.25" customHeight="1">
      <c r="A24" s="122" t="s">
        <v>137</v>
      </c>
      <c r="B24" s="117">
        <v>5</v>
      </c>
      <c r="C24" s="215" t="s">
        <v>200</v>
      </c>
      <c r="D24" s="209">
        <v>2543</v>
      </c>
      <c r="E24" s="114" t="s">
        <v>85</v>
      </c>
      <c r="F24" s="210">
        <v>81</v>
      </c>
      <c r="G24" s="175" t="s">
        <v>147</v>
      </c>
      <c r="H24" s="176">
        <v>93</v>
      </c>
      <c r="I24" s="177" t="s">
        <v>148</v>
      </c>
      <c r="J24" s="175" t="s">
        <v>65</v>
      </c>
      <c r="K24" s="177" t="s">
        <v>149</v>
      </c>
      <c r="L24" s="180">
        <v>1</v>
      </c>
      <c r="M24" s="116" t="s">
        <v>89</v>
      </c>
      <c r="N24" s="116" t="s">
        <v>150</v>
      </c>
      <c r="O24" s="117" t="s">
        <v>151</v>
      </c>
      <c r="P24" s="179" t="s">
        <v>65</v>
      </c>
      <c r="Q24" s="123" t="s">
        <v>91</v>
      </c>
      <c r="R24" s="124" t="s">
        <v>129</v>
      </c>
      <c r="S24" s="119">
        <v>0</v>
      </c>
      <c r="T24" s="116">
        <v>0</v>
      </c>
      <c r="U24" s="116">
        <v>0</v>
      </c>
      <c r="V24" s="116">
        <v>0</v>
      </c>
      <c r="W24" s="116">
        <v>0</v>
      </c>
      <c r="X24" s="117">
        <v>0</v>
      </c>
      <c r="Y24" s="117" t="s">
        <v>57</v>
      </c>
      <c r="Z24" s="117" t="s">
        <v>57</v>
      </c>
      <c r="AA24" s="117">
        <v>0</v>
      </c>
      <c r="AB24" s="199">
        <v>0</v>
      </c>
      <c r="AC24" s="200">
        <v>0</v>
      </c>
      <c r="AD24" s="117">
        <v>0</v>
      </c>
      <c r="AE24" s="117">
        <v>0</v>
      </c>
      <c r="AF24" s="117">
        <v>0</v>
      </c>
      <c r="AG24" s="117">
        <v>0</v>
      </c>
      <c r="AH24" s="117">
        <v>0</v>
      </c>
      <c r="AI24" s="116" t="s">
        <v>57</v>
      </c>
      <c r="AJ24" s="116" t="s">
        <v>57</v>
      </c>
      <c r="AK24" s="116">
        <v>0</v>
      </c>
      <c r="AL24" s="118">
        <v>0</v>
      </c>
      <c r="AM24" s="119">
        <v>0</v>
      </c>
      <c r="AN24" s="116">
        <v>22</v>
      </c>
      <c r="AO24" s="114" t="s">
        <v>93</v>
      </c>
      <c r="AP24" s="120" t="s">
        <v>52</v>
      </c>
      <c r="AQ24" s="117" t="s">
        <v>155</v>
      </c>
      <c r="AR24" s="201"/>
      <c r="AS24" s="202"/>
      <c r="AT24" s="201"/>
      <c r="AU24" s="203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ht="8.25" customHeight="1">
      <c r="A25" s="122" t="s">
        <v>137</v>
      </c>
      <c r="B25" s="117">
        <v>5</v>
      </c>
      <c r="C25" s="125" t="s">
        <v>200</v>
      </c>
      <c r="D25" s="209">
        <v>2547</v>
      </c>
      <c r="E25" s="114" t="s">
        <v>85</v>
      </c>
      <c r="F25" s="210">
        <v>81</v>
      </c>
      <c r="G25" s="175" t="s">
        <v>147</v>
      </c>
      <c r="H25" s="176">
        <v>93</v>
      </c>
      <c r="I25" s="177" t="s">
        <v>148</v>
      </c>
      <c r="J25" s="175" t="s">
        <v>65</v>
      </c>
      <c r="K25" s="177" t="s">
        <v>149</v>
      </c>
      <c r="L25" s="180">
        <v>1</v>
      </c>
      <c r="M25" s="116" t="s">
        <v>89</v>
      </c>
      <c r="N25" s="116" t="s">
        <v>150</v>
      </c>
      <c r="O25" s="117" t="s">
        <v>151</v>
      </c>
      <c r="P25" s="179" t="s">
        <v>65</v>
      </c>
      <c r="Q25" s="123" t="s">
        <v>91</v>
      </c>
      <c r="R25" s="124" t="s">
        <v>129</v>
      </c>
      <c r="S25" s="119" t="s">
        <v>57</v>
      </c>
      <c r="T25" s="116" t="s">
        <v>57</v>
      </c>
      <c r="U25" s="116" t="s">
        <v>57</v>
      </c>
      <c r="V25" s="116" t="s">
        <v>57</v>
      </c>
      <c r="W25" s="116" t="s">
        <v>57</v>
      </c>
      <c r="X25" s="117" t="s">
        <v>57</v>
      </c>
      <c r="Y25" s="117" t="s">
        <v>57</v>
      </c>
      <c r="Z25" s="117" t="s">
        <v>57</v>
      </c>
      <c r="AA25" s="117" t="s">
        <v>57</v>
      </c>
      <c r="AB25" s="199" t="s">
        <v>57</v>
      </c>
      <c r="AC25" s="200" t="s">
        <v>57</v>
      </c>
      <c r="AD25" s="117" t="s">
        <v>57</v>
      </c>
      <c r="AE25" s="117" t="s">
        <v>57</v>
      </c>
      <c r="AF25" s="117" t="s">
        <v>57</v>
      </c>
      <c r="AG25" s="117" t="s">
        <v>57</v>
      </c>
      <c r="AH25" s="117" t="s">
        <v>57</v>
      </c>
      <c r="AI25" s="116" t="s">
        <v>57</v>
      </c>
      <c r="AJ25" s="116" t="s">
        <v>57</v>
      </c>
      <c r="AK25" s="116" t="s">
        <v>57</v>
      </c>
      <c r="AL25" s="118" t="s">
        <v>57</v>
      </c>
      <c r="AM25" s="119" t="s">
        <v>57</v>
      </c>
      <c r="AN25" s="116" t="s">
        <v>57</v>
      </c>
      <c r="AO25" s="114" t="s">
        <v>155</v>
      </c>
      <c r="AP25" s="120"/>
      <c r="AQ25" s="117"/>
      <c r="AR25" s="201"/>
      <c r="AS25" s="202"/>
      <c r="AT25" s="201"/>
      <c r="AU25" s="203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ht="8.25" customHeight="1">
      <c r="A26" s="1"/>
      <c r="B26" s="2"/>
      <c r="C26" s="3"/>
      <c r="D26" s="138"/>
      <c r="E26" s="4"/>
      <c r="F26" s="64"/>
      <c r="G26" s="6"/>
      <c r="H26" s="110"/>
      <c r="I26" s="7"/>
      <c r="J26" s="6"/>
      <c r="K26" s="7"/>
      <c r="L26" s="126"/>
      <c r="M26" s="12"/>
      <c r="N26" s="12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ht="8.25" customHeight="1">
      <c r="A27" s="122" t="s">
        <v>140</v>
      </c>
      <c r="B27" s="117">
        <v>4</v>
      </c>
      <c r="C27" s="125" t="s">
        <v>225</v>
      </c>
      <c r="D27" s="209">
        <v>2539</v>
      </c>
      <c r="E27" s="114" t="s">
        <v>85</v>
      </c>
      <c r="F27" s="210">
        <v>822</v>
      </c>
      <c r="G27" s="175" t="s">
        <v>147</v>
      </c>
      <c r="H27" s="176">
        <v>522</v>
      </c>
      <c r="I27" s="177" t="s">
        <v>65</v>
      </c>
      <c r="J27" s="177" t="s">
        <v>65</v>
      </c>
      <c r="K27" s="177" t="s">
        <v>65</v>
      </c>
      <c r="L27" s="180">
        <v>1</v>
      </c>
      <c r="M27" s="116" t="s">
        <v>89</v>
      </c>
      <c r="N27" s="116" t="s">
        <v>142</v>
      </c>
      <c r="O27" s="117" t="s">
        <v>156</v>
      </c>
      <c r="P27" s="179" t="s">
        <v>65</v>
      </c>
      <c r="Q27" s="123" t="s">
        <v>91</v>
      </c>
      <c r="R27" s="124" t="s">
        <v>129</v>
      </c>
      <c r="S27" s="119">
        <v>0</v>
      </c>
      <c r="T27" s="116">
        <v>0</v>
      </c>
      <c r="U27" s="116" t="s">
        <v>57</v>
      </c>
      <c r="V27" s="116" t="s">
        <v>57</v>
      </c>
      <c r="W27" s="116" t="s">
        <v>57</v>
      </c>
      <c r="X27" s="117" t="s">
        <v>57</v>
      </c>
      <c r="Y27" s="117" t="s">
        <v>57</v>
      </c>
      <c r="Z27" s="117" t="s">
        <v>57</v>
      </c>
      <c r="AA27" s="117" t="s">
        <v>57</v>
      </c>
      <c r="AB27" s="199" t="s">
        <v>57</v>
      </c>
      <c r="AC27" s="200"/>
      <c r="AD27" s="117"/>
      <c r="AE27" s="117"/>
      <c r="AF27" s="117"/>
      <c r="AG27" s="117"/>
      <c r="AH27" s="117"/>
      <c r="AI27" s="116"/>
      <c r="AJ27" s="116"/>
      <c r="AK27" s="116"/>
      <c r="AL27" s="118"/>
      <c r="AM27" s="119">
        <v>0</v>
      </c>
      <c r="AN27" s="116">
        <v>22</v>
      </c>
      <c r="AO27" s="114" t="s">
        <v>93</v>
      </c>
      <c r="AP27" s="120" t="s">
        <v>58</v>
      </c>
      <c r="AQ27" s="117" t="s">
        <v>121</v>
      </c>
      <c r="AR27" s="201">
        <v>96</v>
      </c>
      <c r="AS27" s="202" t="s">
        <v>100</v>
      </c>
      <c r="AT27" s="201">
        <v>0</v>
      </c>
      <c r="AU27" s="203">
        <v>22</v>
      </c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>
        <f t="shared" si="4"/>
        <v>2112</v>
      </c>
      <c r="BG27" s="18">
        <f t="shared" si="5"/>
        <v>22</v>
      </c>
      <c r="BH27" s="18"/>
    </row>
    <row r="28" spans="1:60" ht="8.25" customHeight="1">
      <c r="A28" s="1"/>
      <c r="B28" s="2"/>
      <c r="C28" s="3"/>
      <c r="D28" s="138"/>
      <c r="E28" s="4"/>
      <c r="F28" s="64"/>
      <c r="G28" s="6"/>
      <c r="H28" s="110"/>
      <c r="I28" s="7"/>
      <c r="J28" s="6"/>
      <c r="K28" s="7"/>
      <c r="L28" s="126"/>
      <c r="M28" s="12"/>
      <c r="N28" s="12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5"/>
      <c r="AS28" s="16"/>
      <c r="AT28" s="15"/>
      <c r="AU28" s="17"/>
      <c r="AV28" s="18"/>
      <c r="AW28" s="18" t="str">
        <f t="shared" si="0"/>
        <v/>
      </c>
      <c r="AX28" s="18" t="str">
        <f t="shared" si="1"/>
        <v/>
      </c>
      <c r="AY28" s="18"/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/>
      <c r="BF28" s="18" t="str">
        <f t="shared" si="4"/>
        <v/>
      </c>
      <c r="BG28" s="18" t="str">
        <f t="shared" si="5"/>
        <v/>
      </c>
      <c r="BH28" s="18"/>
    </row>
    <row r="29" spans="1:60" ht="8.25" customHeight="1">
      <c r="A29" s="1" t="s">
        <v>140</v>
      </c>
      <c r="B29" s="2">
        <v>6</v>
      </c>
      <c r="C29" s="3" t="s">
        <v>188</v>
      </c>
      <c r="D29" s="138">
        <v>2504</v>
      </c>
      <c r="E29" s="4" t="s">
        <v>85</v>
      </c>
      <c r="F29" s="64">
        <v>700</v>
      </c>
      <c r="G29" s="6" t="s">
        <v>147</v>
      </c>
      <c r="H29" s="110">
        <v>431</v>
      </c>
      <c r="I29" s="7" t="s">
        <v>65</v>
      </c>
      <c r="J29" s="7" t="s">
        <v>65</v>
      </c>
      <c r="K29" s="7" t="s">
        <v>65</v>
      </c>
      <c r="L29" s="126">
        <v>1</v>
      </c>
      <c r="M29" s="12" t="s">
        <v>89</v>
      </c>
      <c r="N29" s="12" t="s">
        <v>142</v>
      </c>
      <c r="O29" s="2" t="s">
        <v>156</v>
      </c>
      <c r="P29" s="56" t="s">
        <v>65</v>
      </c>
      <c r="Q29" s="9" t="s">
        <v>91</v>
      </c>
      <c r="R29" s="10" t="s">
        <v>129</v>
      </c>
      <c r="S29" s="11">
        <v>0</v>
      </c>
      <c r="T29" s="12">
        <v>0</v>
      </c>
      <c r="U29" s="12" t="s">
        <v>57</v>
      </c>
      <c r="V29" s="12" t="s">
        <v>57</v>
      </c>
      <c r="W29" s="12" t="s">
        <v>57</v>
      </c>
      <c r="X29" s="2" t="s">
        <v>57</v>
      </c>
      <c r="Y29" s="2" t="s">
        <v>57</v>
      </c>
      <c r="Z29" s="2" t="s">
        <v>57</v>
      </c>
      <c r="AA29" s="2" t="s">
        <v>57</v>
      </c>
      <c r="AB29" s="59" t="s">
        <v>57</v>
      </c>
      <c r="AC29" s="62">
        <v>0</v>
      </c>
      <c r="AD29" s="2">
        <v>0</v>
      </c>
      <c r="AE29" s="2" t="s">
        <v>57</v>
      </c>
      <c r="AF29" s="2" t="s">
        <v>57</v>
      </c>
      <c r="AG29" s="2" t="s">
        <v>57</v>
      </c>
      <c r="AH29" s="2" t="s">
        <v>57</v>
      </c>
      <c r="AI29" s="12" t="s">
        <v>57</v>
      </c>
      <c r="AJ29" s="12" t="s">
        <v>57</v>
      </c>
      <c r="AK29" s="12" t="s">
        <v>57</v>
      </c>
      <c r="AL29" s="13" t="s">
        <v>57</v>
      </c>
      <c r="AM29" s="11">
        <v>0</v>
      </c>
      <c r="AN29" s="12">
        <v>22</v>
      </c>
      <c r="AO29" s="4" t="s">
        <v>93</v>
      </c>
      <c r="AP29" s="14" t="s">
        <v>52</v>
      </c>
      <c r="AQ29" s="2" t="s">
        <v>99</v>
      </c>
      <c r="AR29" s="15">
        <v>1000</v>
      </c>
      <c r="AS29" s="16" t="s">
        <v>100</v>
      </c>
      <c r="AT29" s="15">
        <v>0</v>
      </c>
      <c r="AU29" s="17">
        <v>22</v>
      </c>
      <c r="AV29" s="18"/>
      <c r="AW29" s="18" t="str">
        <f t="shared" si="0"/>
        <v/>
      </c>
      <c r="AX29" s="18" t="str">
        <f t="shared" si="1"/>
        <v/>
      </c>
      <c r="AY29" s="18"/>
      <c r="AZ29" s="18"/>
      <c r="BA29" s="18"/>
      <c r="BB29" s="18"/>
      <c r="BC29" s="18">
        <f t="shared" si="2"/>
        <v>22000</v>
      </c>
      <c r="BD29" s="18">
        <f t="shared" si="3"/>
        <v>22</v>
      </c>
      <c r="BE29" s="18"/>
      <c r="BF29" s="18" t="str">
        <f t="shared" si="4"/>
        <v/>
      </c>
      <c r="BG29" s="18" t="str">
        <f t="shared" si="5"/>
        <v/>
      </c>
      <c r="BH29" s="18"/>
    </row>
    <row r="30" spans="1:60" ht="8.25" customHeight="1">
      <c r="A30" s="1" t="s">
        <v>140</v>
      </c>
      <c r="B30" s="2">
        <v>6</v>
      </c>
      <c r="C30" s="3" t="s">
        <v>188</v>
      </c>
      <c r="D30" s="138">
        <v>2521</v>
      </c>
      <c r="E30" s="4" t="s">
        <v>85</v>
      </c>
      <c r="F30" s="64">
        <v>700</v>
      </c>
      <c r="G30" s="6" t="s">
        <v>147</v>
      </c>
      <c r="H30" s="110">
        <v>431</v>
      </c>
      <c r="I30" s="7" t="s">
        <v>65</v>
      </c>
      <c r="J30" s="7" t="s">
        <v>65</v>
      </c>
      <c r="K30" s="7" t="s">
        <v>65</v>
      </c>
      <c r="L30" s="126">
        <v>1</v>
      </c>
      <c r="M30" s="12" t="s">
        <v>89</v>
      </c>
      <c r="N30" s="12" t="s">
        <v>142</v>
      </c>
      <c r="O30" s="2" t="s">
        <v>156</v>
      </c>
      <c r="P30" s="56" t="s">
        <v>65</v>
      </c>
      <c r="Q30" s="9" t="s">
        <v>91</v>
      </c>
      <c r="R30" s="10" t="s">
        <v>129</v>
      </c>
      <c r="S30" s="11">
        <v>0</v>
      </c>
      <c r="T30" s="12">
        <v>0</v>
      </c>
      <c r="U30" s="12" t="s">
        <v>57</v>
      </c>
      <c r="V30" s="12" t="s">
        <v>57</v>
      </c>
      <c r="W30" s="12" t="s">
        <v>57</v>
      </c>
      <c r="X30" s="2" t="s">
        <v>57</v>
      </c>
      <c r="Y30" s="2" t="s">
        <v>57</v>
      </c>
      <c r="Z30" s="2" t="s">
        <v>57</v>
      </c>
      <c r="AA30" s="2" t="s">
        <v>57</v>
      </c>
      <c r="AB30" s="59" t="s">
        <v>57</v>
      </c>
      <c r="AC30" s="62">
        <v>0</v>
      </c>
      <c r="AD30" s="2">
        <v>0</v>
      </c>
      <c r="AE30" s="2" t="s">
        <v>57</v>
      </c>
      <c r="AF30" s="2" t="s">
        <v>57</v>
      </c>
      <c r="AG30" s="2" t="s">
        <v>57</v>
      </c>
      <c r="AH30" s="2" t="s">
        <v>57</v>
      </c>
      <c r="AI30" s="12" t="s">
        <v>57</v>
      </c>
      <c r="AJ30" s="12" t="s">
        <v>57</v>
      </c>
      <c r="AK30" s="12" t="s">
        <v>57</v>
      </c>
      <c r="AL30" s="13" t="s">
        <v>57</v>
      </c>
      <c r="AM30" s="11">
        <v>0</v>
      </c>
      <c r="AN30" s="12">
        <v>22</v>
      </c>
      <c r="AO30" s="4" t="s">
        <v>93</v>
      </c>
      <c r="AP30" s="14" t="s">
        <v>94</v>
      </c>
      <c r="AQ30" s="2" t="s">
        <v>141</v>
      </c>
      <c r="AR30" s="15">
        <v>1000</v>
      </c>
      <c r="AS30" s="16" t="s">
        <v>96</v>
      </c>
      <c r="AT30" s="15">
        <v>0</v>
      </c>
      <c r="AU30" s="17">
        <v>22</v>
      </c>
      <c r="AV30" s="18"/>
      <c r="AW30" s="18">
        <f t="shared" si="0"/>
        <v>22000</v>
      </c>
      <c r="AX30" s="18">
        <f t="shared" si="1"/>
        <v>22</v>
      </c>
      <c r="AY30" s="18"/>
      <c r="AZ30" s="18"/>
      <c r="BA30" s="18"/>
      <c r="BB30" s="18"/>
      <c r="BC30" s="18" t="str">
        <f t="shared" si="2"/>
        <v/>
      </c>
      <c r="BD30" s="18" t="str">
        <f t="shared" si="3"/>
        <v/>
      </c>
      <c r="BE30" s="18"/>
      <c r="BF30" s="18" t="str">
        <f t="shared" si="4"/>
        <v/>
      </c>
      <c r="BG30" s="18" t="str">
        <f t="shared" si="5"/>
        <v/>
      </c>
      <c r="BH30" s="18"/>
    </row>
    <row r="31" spans="1:60" ht="8.25" customHeight="1">
      <c r="A31" s="122" t="s">
        <v>140</v>
      </c>
      <c r="B31" s="117">
        <v>6</v>
      </c>
      <c r="C31" s="125" t="s">
        <v>188</v>
      </c>
      <c r="D31" s="209">
        <v>2543</v>
      </c>
      <c r="E31" s="114" t="s">
        <v>85</v>
      </c>
      <c r="F31" s="210">
        <v>700</v>
      </c>
      <c r="G31" s="175" t="s">
        <v>147</v>
      </c>
      <c r="H31" s="176">
        <v>431</v>
      </c>
      <c r="I31" s="177" t="s">
        <v>65</v>
      </c>
      <c r="J31" s="177" t="s">
        <v>65</v>
      </c>
      <c r="K31" s="177" t="s">
        <v>65</v>
      </c>
      <c r="L31" s="180">
        <v>1</v>
      </c>
      <c r="M31" s="116" t="s">
        <v>89</v>
      </c>
      <c r="N31" s="116" t="s">
        <v>142</v>
      </c>
      <c r="O31" s="117" t="s">
        <v>156</v>
      </c>
      <c r="P31" s="179" t="s">
        <v>65</v>
      </c>
      <c r="Q31" s="123" t="s">
        <v>91</v>
      </c>
      <c r="R31" s="124" t="s">
        <v>129</v>
      </c>
      <c r="S31" s="119">
        <v>0</v>
      </c>
      <c r="T31" s="116">
        <v>0</v>
      </c>
      <c r="U31" s="116" t="s">
        <v>57</v>
      </c>
      <c r="V31" s="116" t="s">
        <v>57</v>
      </c>
      <c r="W31" s="116" t="s">
        <v>57</v>
      </c>
      <c r="X31" s="117" t="s">
        <v>57</v>
      </c>
      <c r="Y31" s="117" t="s">
        <v>57</v>
      </c>
      <c r="Z31" s="117" t="s">
        <v>57</v>
      </c>
      <c r="AA31" s="117" t="s">
        <v>57</v>
      </c>
      <c r="AB31" s="199" t="s">
        <v>57</v>
      </c>
      <c r="AC31" s="200"/>
      <c r="AD31" s="117"/>
      <c r="AE31" s="117"/>
      <c r="AF31" s="117"/>
      <c r="AG31" s="117"/>
      <c r="AH31" s="117"/>
      <c r="AI31" s="116"/>
      <c r="AJ31" s="116"/>
      <c r="AK31" s="116"/>
      <c r="AL31" s="118"/>
      <c r="AM31" s="119">
        <v>0</v>
      </c>
      <c r="AN31" s="116">
        <v>22</v>
      </c>
      <c r="AO31" s="114" t="s">
        <v>93</v>
      </c>
      <c r="AP31" s="120" t="s">
        <v>52</v>
      </c>
      <c r="AQ31" s="117" t="s">
        <v>155</v>
      </c>
      <c r="AR31" s="201"/>
      <c r="AS31" s="202"/>
      <c r="AT31" s="201"/>
      <c r="AU31" s="203"/>
      <c r="AV31" s="18"/>
      <c r="AW31" s="18" t="str">
        <f t="shared" si="0"/>
        <v/>
      </c>
      <c r="AX31" s="18" t="str">
        <f t="shared" si="1"/>
        <v/>
      </c>
      <c r="AY31" s="18"/>
      <c r="AZ31" s="18"/>
      <c r="BA31" s="18"/>
      <c r="BB31" s="18"/>
      <c r="BC31" s="18" t="str">
        <f t="shared" si="2"/>
        <v/>
      </c>
      <c r="BD31" s="18" t="str">
        <f t="shared" si="3"/>
        <v/>
      </c>
      <c r="BE31" s="18"/>
      <c r="BF31" s="18" t="str">
        <f t="shared" si="4"/>
        <v/>
      </c>
      <c r="BG31" s="18" t="str">
        <f t="shared" si="5"/>
        <v/>
      </c>
      <c r="BH31" s="18"/>
    </row>
    <row r="32" spans="1:60" ht="8.25" customHeight="1">
      <c r="A32" s="1"/>
      <c r="B32" s="2"/>
      <c r="C32" s="3"/>
      <c r="D32" s="138"/>
      <c r="E32" s="4"/>
      <c r="F32" s="5"/>
      <c r="G32" s="6"/>
      <c r="H32" s="7"/>
      <c r="I32" s="7"/>
      <c r="J32" s="6"/>
      <c r="K32" s="7"/>
      <c r="L32" s="126"/>
      <c r="M32" s="12"/>
      <c r="N32" s="12"/>
      <c r="O32" s="2"/>
      <c r="P32" s="56"/>
      <c r="Q32" s="9"/>
      <c r="R32" s="10"/>
      <c r="S32" s="11"/>
      <c r="T32" s="12"/>
      <c r="U32" s="12"/>
      <c r="V32" s="12"/>
      <c r="W32" s="12"/>
      <c r="X32" s="2"/>
      <c r="Y32" s="2"/>
      <c r="Z32" s="2"/>
      <c r="AA32" s="2"/>
      <c r="AB32" s="59"/>
      <c r="AC32" s="62"/>
      <c r="AD32" s="2"/>
      <c r="AE32" s="2"/>
      <c r="AF32" s="2"/>
      <c r="AG32" s="2"/>
      <c r="AH32" s="2"/>
      <c r="AI32" s="12"/>
      <c r="AJ32" s="12"/>
      <c r="AK32" s="12"/>
      <c r="AL32" s="13"/>
      <c r="AM32" s="11"/>
      <c r="AN32" s="12"/>
      <c r="AO32" s="4"/>
      <c r="AP32" s="14"/>
      <c r="AQ32" s="2"/>
      <c r="AR32" s="15"/>
      <c r="AS32" s="16"/>
      <c r="AT32" s="15"/>
      <c r="AU32" s="17"/>
      <c r="AV32" s="18"/>
      <c r="AW32" s="18" t="str">
        <f t="shared" si="0"/>
        <v/>
      </c>
      <c r="AX32" s="18" t="str">
        <f t="shared" si="1"/>
        <v/>
      </c>
      <c r="AY32" s="18"/>
      <c r="AZ32" s="18"/>
      <c r="BA32" s="18"/>
      <c r="BB32" s="18"/>
      <c r="BC32" s="18" t="str">
        <f t="shared" si="2"/>
        <v/>
      </c>
      <c r="BD32" s="18" t="str">
        <f t="shared" si="3"/>
        <v/>
      </c>
      <c r="BE32" s="18"/>
      <c r="BF32" s="18" t="str">
        <f t="shared" si="4"/>
        <v/>
      </c>
      <c r="BG32" s="18" t="str">
        <f t="shared" si="5"/>
        <v/>
      </c>
      <c r="BH32" s="18"/>
    </row>
    <row r="33" spans="1:60" ht="8.25" customHeight="1">
      <c r="A33" s="1"/>
      <c r="B33" s="2"/>
      <c r="C33" s="3"/>
      <c r="D33" s="138"/>
      <c r="E33" s="4"/>
      <c r="F33" s="5"/>
      <c r="G33" s="6"/>
      <c r="H33" s="7"/>
      <c r="I33" s="7"/>
      <c r="J33" s="6"/>
      <c r="K33" s="7"/>
      <c r="L33" s="126"/>
      <c r="M33" s="12"/>
      <c r="N33" s="12"/>
      <c r="O33" s="2"/>
      <c r="P33" s="56"/>
      <c r="Q33" s="9"/>
      <c r="R33" s="10"/>
      <c r="S33" s="11"/>
      <c r="T33" s="12"/>
      <c r="U33" s="12"/>
      <c r="V33" s="12"/>
      <c r="W33" s="12"/>
      <c r="X33" s="2"/>
      <c r="Y33" s="2"/>
      <c r="Z33" s="2"/>
      <c r="AA33" s="2"/>
      <c r="AB33" s="59"/>
      <c r="AC33" s="62"/>
      <c r="AD33" s="2"/>
      <c r="AE33" s="2"/>
      <c r="AF33" s="2"/>
      <c r="AG33" s="2"/>
      <c r="AH33" s="2"/>
      <c r="AI33" s="12"/>
      <c r="AJ33" s="12"/>
      <c r="AK33" s="12"/>
      <c r="AL33" s="13"/>
      <c r="AM33" s="11"/>
      <c r="AN33" s="12"/>
      <c r="AO33" s="4"/>
      <c r="AP33" s="14"/>
      <c r="AQ33" s="2"/>
      <c r="AR33" s="15"/>
      <c r="AS33" s="16"/>
      <c r="AT33" s="15"/>
      <c r="AU33" s="17"/>
      <c r="AV33" s="18"/>
      <c r="AW33" s="18" t="str">
        <f t="shared" si="0"/>
        <v/>
      </c>
      <c r="AX33" s="18" t="str">
        <f t="shared" si="1"/>
        <v/>
      </c>
      <c r="AY33" s="18"/>
      <c r="AZ33" s="18"/>
      <c r="BA33" s="18"/>
      <c r="BB33" s="18"/>
      <c r="BC33" s="18" t="str">
        <f t="shared" si="2"/>
        <v/>
      </c>
      <c r="BD33" s="18" t="str">
        <f t="shared" si="3"/>
        <v/>
      </c>
      <c r="BE33" s="18"/>
      <c r="BF33" s="18" t="str">
        <f t="shared" si="4"/>
        <v/>
      </c>
      <c r="BG33" s="18" t="str">
        <f t="shared" si="5"/>
        <v/>
      </c>
      <c r="BH33" s="18"/>
    </row>
    <row r="34" spans="1:60" ht="8.25" customHeight="1">
      <c r="A34" s="1"/>
      <c r="B34" s="2"/>
      <c r="C34" s="3"/>
      <c r="D34" s="138"/>
      <c r="E34" s="4"/>
      <c r="F34" s="5"/>
      <c r="G34" s="6"/>
      <c r="H34" s="7"/>
      <c r="I34" s="7"/>
      <c r="J34" s="6"/>
      <c r="K34" s="7"/>
      <c r="L34" s="69"/>
      <c r="M34" s="12"/>
      <c r="N34" s="12"/>
      <c r="O34" s="2"/>
      <c r="P34" s="56"/>
      <c r="Q34" s="9"/>
      <c r="R34" s="10"/>
      <c r="S34" s="11"/>
      <c r="T34" s="12"/>
      <c r="U34" s="12"/>
      <c r="V34" s="12"/>
      <c r="W34" s="12"/>
      <c r="X34" s="2"/>
      <c r="Y34" s="2"/>
      <c r="Z34" s="2"/>
      <c r="AA34" s="2"/>
      <c r="AB34" s="59"/>
      <c r="AC34" s="62"/>
      <c r="AD34" s="2"/>
      <c r="AE34" s="2"/>
      <c r="AF34" s="2"/>
      <c r="AG34" s="2"/>
      <c r="AH34" s="2"/>
      <c r="AI34" s="12"/>
      <c r="AJ34" s="12"/>
      <c r="AK34" s="12"/>
      <c r="AL34" s="13"/>
      <c r="AM34" s="11"/>
      <c r="AN34" s="12"/>
      <c r="AO34" s="4"/>
      <c r="AP34" s="14"/>
      <c r="AQ34" s="2"/>
      <c r="AR34" s="15"/>
      <c r="AS34" s="16"/>
      <c r="AT34" s="15"/>
      <c r="AU34" s="17"/>
      <c r="AV34" s="18"/>
      <c r="AW34" s="18" t="str">
        <f t="shared" si="0"/>
        <v/>
      </c>
      <c r="AX34" s="18" t="str">
        <f t="shared" si="1"/>
        <v/>
      </c>
      <c r="AY34" s="18"/>
      <c r="AZ34" s="18"/>
      <c r="BA34" s="18"/>
      <c r="BB34" s="18"/>
      <c r="BC34" s="18" t="str">
        <f t="shared" si="2"/>
        <v/>
      </c>
      <c r="BD34" s="18" t="str">
        <f t="shared" si="3"/>
        <v/>
      </c>
      <c r="BE34" s="18"/>
      <c r="BF34" s="18" t="str">
        <f t="shared" si="4"/>
        <v/>
      </c>
      <c r="BG34" s="18" t="str">
        <f t="shared" si="5"/>
        <v/>
      </c>
      <c r="BH34" s="18"/>
    </row>
    <row r="35" spans="1:60" ht="8.25" customHeight="1">
      <c r="A35" s="1"/>
      <c r="B35" s="2"/>
      <c r="C35" s="3"/>
      <c r="D35" s="138"/>
      <c r="E35" s="4"/>
      <c r="F35" s="5"/>
      <c r="G35" s="6"/>
      <c r="H35" s="7"/>
      <c r="I35" s="7"/>
      <c r="J35" s="6"/>
      <c r="K35" s="7"/>
      <c r="L35" s="69"/>
      <c r="M35" s="12"/>
      <c r="N35" s="12"/>
      <c r="O35" s="2"/>
      <c r="P35" s="56"/>
      <c r="Q35" s="9"/>
      <c r="R35" s="10"/>
      <c r="S35" s="11"/>
      <c r="T35" s="12"/>
      <c r="U35" s="12"/>
      <c r="V35" s="12"/>
      <c r="W35" s="12"/>
      <c r="X35" s="2"/>
      <c r="Y35" s="2"/>
      <c r="Z35" s="2"/>
      <c r="AA35" s="2"/>
      <c r="AB35" s="59"/>
      <c r="AC35" s="62"/>
      <c r="AD35" s="2"/>
      <c r="AE35" s="2"/>
      <c r="AF35" s="2"/>
      <c r="AG35" s="2"/>
      <c r="AH35" s="2"/>
      <c r="AI35" s="12"/>
      <c r="AJ35" s="12"/>
      <c r="AK35" s="12"/>
      <c r="AL35" s="13"/>
      <c r="AM35" s="11"/>
      <c r="AN35" s="12"/>
      <c r="AO35" s="4"/>
      <c r="AP35" s="14"/>
      <c r="AQ35" s="2"/>
      <c r="AR35" s="15"/>
      <c r="AS35" s="16"/>
      <c r="AT35" s="15"/>
      <c r="AU35" s="17"/>
      <c r="AV35" s="18"/>
      <c r="AW35" s="18" t="str">
        <f t="shared" si="0"/>
        <v/>
      </c>
      <c r="AX35" s="18" t="str">
        <f t="shared" si="1"/>
        <v/>
      </c>
      <c r="AY35" s="18"/>
      <c r="AZ35" s="18"/>
      <c r="BA35" s="18"/>
      <c r="BB35" s="18"/>
      <c r="BC35" s="18" t="str">
        <f t="shared" si="2"/>
        <v/>
      </c>
      <c r="BD35" s="18" t="str">
        <f t="shared" si="3"/>
        <v/>
      </c>
      <c r="BE35" s="18"/>
      <c r="BF35" s="18" t="str">
        <f t="shared" si="4"/>
        <v/>
      </c>
      <c r="BG35" s="18" t="str">
        <f t="shared" si="5"/>
        <v/>
      </c>
      <c r="BH35" s="18"/>
    </row>
    <row r="36" spans="1:60" ht="8.25" customHeight="1">
      <c r="A36" s="1"/>
      <c r="B36" s="2"/>
      <c r="C36" s="3"/>
      <c r="D36" s="138"/>
      <c r="E36" s="4"/>
      <c r="F36" s="5"/>
      <c r="G36" s="6"/>
      <c r="H36" s="7"/>
      <c r="I36" s="7"/>
      <c r="J36" s="6"/>
      <c r="K36" s="7"/>
      <c r="L36" s="69"/>
      <c r="M36" s="12"/>
      <c r="N36" s="12"/>
      <c r="O36" s="2"/>
      <c r="P36" s="56"/>
      <c r="Q36" s="9"/>
      <c r="R36" s="10"/>
      <c r="S36" s="11"/>
      <c r="T36" s="12"/>
      <c r="U36" s="12"/>
      <c r="V36" s="12"/>
      <c r="W36" s="12"/>
      <c r="X36" s="2"/>
      <c r="Y36" s="2"/>
      <c r="Z36" s="2"/>
      <c r="AA36" s="2"/>
      <c r="AB36" s="59"/>
      <c r="AC36" s="62"/>
      <c r="AD36" s="2"/>
      <c r="AE36" s="2"/>
      <c r="AF36" s="2"/>
      <c r="AG36" s="2"/>
      <c r="AH36" s="2"/>
      <c r="AI36" s="12"/>
      <c r="AJ36" s="12"/>
      <c r="AK36" s="12"/>
      <c r="AL36" s="13"/>
      <c r="AM36" s="11"/>
      <c r="AN36" s="12"/>
      <c r="AO36" s="4"/>
      <c r="AP36" s="14"/>
      <c r="AQ36" s="2"/>
      <c r="AR36" s="15"/>
      <c r="AS36" s="16"/>
      <c r="AT36" s="15"/>
      <c r="AU36" s="17"/>
      <c r="AV36" s="18"/>
      <c r="AW36" s="18" t="str">
        <f t="shared" si="0"/>
        <v/>
      </c>
      <c r="AX36" s="18" t="str">
        <f t="shared" si="1"/>
        <v/>
      </c>
      <c r="AY36" s="18"/>
      <c r="AZ36" s="18"/>
      <c r="BA36" s="18"/>
      <c r="BB36" s="18"/>
      <c r="BC36" s="18" t="str">
        <f t="shared" si="2"/>
        <v/>
      </c>
      <c r="BD36" s="18" t="str">
        <f t="shared" si="3"/>
        <v/>
      </c>
      <c r="BE36" s="18"/>
      <c r="BF36" s="18" t="str">
        <f t="shared" si="4"/>
        <v/>
      </c>
      <c r="BG36" s="18" t="str">
        <f t="shared" si="5"/>
        <v/>
      </c>
      <c r="BH36" s="18"/>
    </row>
    <row r="37" spans="1:60" ht="8.25" customHeight="1">
      <c r="A37" s="1"/>
      <c r="B37" s="2"/>
      <c r="C37" s="3"/>
      <c r="D37" s="138"/>
      <c r="E37" s="4"/>
      <c r="F37" s="5"/>
      <c r="G37" s="6"/>
      <c r="H37" s="7"/>
      <c r="I37" s="7"/>
      <c r="J37" s="6"/>
      <c r="K37" s="7"/>
      <c r="L37" s="69"/>
      <c r="M37" s="12"/>
      <c r="N37" s="12"/>
      <c r="O37" s="2"/>
      <c r="P37" s="56"/>
      <c r="Q37" s="9"/>
      <c r="R37" s="10"/>
      <c r="S37" s="11"/>
      <c r="T37" s="12"/>
      <c r="U37" s="12"/>
      <c r="V37" s="12"/>
      <c r="W37" s="12"/>
      <c r="X37" s="2"/>
      <c r="Y37" s="2"/>
      <c r="Z37" s="2"/>
      <c r="AA37" s="2"/>
      <c r="AB37" s="59"/>
      <c r="AC37" s="62"/>
      <c r="AD37" s="2"/>
      <c r="AE37" s="2"/>
      <c r="AF37" s="2"/>
      <c r="AG37" s="2"/>
      <c r="AH37" s="2"/>
      <c r="AI37" s="12"/>
      <c r="AJ37" s="12"/>
      <c r="AK37" s="12"/>
      <c r="AL37" s="13"/>
      <c r="AM37" s="11"/>
      <c r="AN37" s="12"/>
      <c r="AO37" s="4"/>
      <c r="AP37" s="14"/>
      <c r="AQ37" s="2"/>
      <c r="AR37" s="15"/>
      <c r="AS37" s="16"/>
      <c r="AT37" s="15"/>
      <c r="AU37" s="17"/>
      <c r="AV37" s="18"/>
      <c r="AW37" s="18" t="str">
        <f t="shared" si="0"/>
        <v/>
      </c>
      <c r="AX37" s="18" t="str">
        <f t="shared" si="1"/>
        <v/>
      </c>
      <c r="AY37" s="18"/>
      <c r="AZ37" s="18"/>
      <c r="BA37" s="18"/>
      <c r="BB37" s="18"/>
      <c r="BC37" s="18" t="str">
        <f t="shared" si="2"/>
        <v/>
      </c>
      <c r="BD37" s="18" t="str">
        <f t="shared" si="3"/>
        <v/>
      </c>
      <c r="BE37" s="18"/>
      <c r="BF37" s="18" t="str">
        <f t="shared" si="4"/>
        <v/>
      </c>
      <c r="BG37" s="18" t="str">
        <f t="shared" si="5"/>
        <v/>
      </c>
      <c r="BH37" s="18"/>
    </row>
    <row r="38" spans="1:60" ht="8.25" customHeight="1">
      <c r="A38" s="1"/>
      <c r="B38" s="2"/>
      <c r="C38" s="3"/>
      <c r="D38" s="138"/>
      <c r="E38" s="4"/>
      <c r="F38" s="5"/>
      <c r="G38" s="6"/>
      <c r="H38" s="7"/>
      <c r="I38" s="7"/>
      <c r="J38" s="6"/>
      <c r="K38" s="7"/>
      <c r="L38" s="69"/>
      <c r="M38" s="12"/>
      <c r="N38" s="12"/>
      <c r="O38" s="2"/>
      <c r="P38" s="56"/>
      <c r="Q38" s="9"/>
      <c r="R38" s="10"/>
      <c r="S38" s="11"/>
      <c r="T38" s="12"/>
      <c r="U38" s="12"/>
      <c r="V38" s="12"/>
      <c r="W38" s="12"/>
      <c r="X38" s="2"/>
      <c r="Y38" s="2"/>
      <c r="Z38" s="2"/>
      <c r="AA38" s="2"/>
      <c r="AB38" s="59"/>
      <c r="AC38" s="62"/>
      <c r="AD38" s="2"/>
      <c r="AE38" s="2"/>
      <c r="AF38" s="2"/>
      <c r="AG38" s="2"/>
      <c r="AH38" s="2"/>
      <c r="AI38" s="12"/>
      <c r="AJ38" s="12"/>
      <c r="AK38" s="12"/>
      <c r="AL38" s="13"/>
      <c r="AM38" s="11"/>
      <c r="AN38" s="12"/>
      <c r="AO38" s="4"/>
      <c r="AP38" s="14"/>
      <c r="AQ38" s="2"/>
      <c r="AR38" s="15"/>
      <c r="AS38" s="16"/>
      <c r="AT38" s="15"/>
      <c r="AU38" s="17"/>
      <c r="AV38" s="18"/>
      <c r="AW38" s="18" t="str">
        <f t="shared" si="0"/>
        <v/>
      </c>
      <c r="AX38" s="18" t="str">
        <f t="shared" si="1"/>
        <v/>
      </c>
      <c r="AY38" s="18"/>
      <c r="AZ38" s="18"/>
      <c r="BA38" s="18"/>
      <c r="BB38" s="18"/>
      <c r="BC38" s="18" t="str">
        <f t="shared" si="2"/>
        <v/>
      </c>
      <c r="BD38" s="18" t="str">
        <f t="shared" si="3"/>
        <v/>
      </c>
      <c r="BE38" s="18"/>
      <c r="BF38" s="18" t="str">
        <f t="shared" si="4"/>
        <v/>
      </c>
      <c r="BG38" s="18" t="str">
        <f t="shared" si="5"/>
        <v/>
      </c>
      <c r="BH38" s="18"/>
    </row>
    <row r="39" spans="1:60" ht="8.25" customHeight="1">
      <c r="A39" s="1"/>
      <c r="B39" s="2"/>
      <c r="C39" s="3"/>
      <c r="D39" s="138"/>
      <c r="E39" s="4"/>
      <c r="F39" s="5"/>
      <c r="G39" s="6"/>
      <c r="H39" s="7"/>
      <c r="I39" s="7"/>
      <c r="J39" s="6"/>
      <c r="K39" s="7"/>
      <c r="L39" s="69"/>
      <c r="M39" s="12"/>
      <c r="N39" s="12"/>
      <c r="O39" s="2"/>
      <c r="P39" s="56"/>
      <c r="Q39" s="9"/>
      <c r="R39" s="10"/>
      <c r="S39" s="11"/>
      <c r="T39" s="12"/>
      <c r="U39" s="12"/>
      <c r="V39" s="12"/>
      <c r="W39" s="12"/>
      <c r="X39" s="2"/>
      <c r="Y39" s="2"/>
      <c r="Z39" s="2"/>
      <c r="AA39" s="2"/>
      <c r="AB39" s="59"/>
      <c r="AC39" s="62"/>
      <c r="AD39" s="2"/>
      <c r="AE39" s="2"/>
      <c r="AF39" s="2"/>
      <c r="AG39" s="2"/>
      <c r="AH39" s="2"/>
      <c r="AI39" s="12"/>
      <c r="AJ39" s="12"/>
      <c r="AK39" s="12"/>
      <c r="AL39" s="13"/>
      <c r="AM39" s="11"/>
      <c r="AN39" s="12"/>
      <c r="AO39" s="4"/>
      <c r="AP39" s="14"/>
      <c r="AQ39" s="2"/>
      <c r="AR39" s="15"/>
      <c r="AS39" s="16"/>
      <c r="AT39" s="15"/>
      <c r="AU39" s="17"/>
      <c r="AV39" s="18"/>
      <c r="AW39" s="18" t="str">
        <f t="shared" si="0"/>
        <v/>
      </c>
      <c r="AX39" s="18" t="str">
        <f t="shared" si="1"/>
        <v/>
      </c>
      <c r="AY39" s="18"/>
      <c r="AZ39" s="18"/>
      <c r="BA39" s="18"/>
      <c r="BB39" s="18"/>
      <c r="BC39" s="18" t="str">
        <f t="shared" si="2"/>
        <v/>
      </c>
      <c r="BD39" s="18" t="str">
        <f t="shared" si="3"/>
        <v/>
      </c>
      <c r="BE39" s="18"/>
      <c r="BF39" s="18" t="str">
        <f t="shared" si="4"/>
        <v/>
      </c>
      <c r="BG39" s="18" t="str">
        <f t="shared" si="5"/>
        <v/>
      </c>
      <c r="BH39" s="18"/>
    </row>
    <row r="40" spans="1:60" ht="8.25" customHeight="1">
      <c r="A40" s="1"/>
      <c r="B40" s="2"/>
      <c r="C40" s="3"/>
      <c r="D40" s="138"/>
      <c r="E40" s="4"/>
      <c r="F40" s="5"/>
      <c r="G40" s="6"/>
      <c r="H40" s="7"/>
      <c r="I40" s="7"/>
      <c r="J40" s="6"/>
      <c r="K40" s="7"/>
      <c r="L40" s="69"/>
      <c r="M40" s="12"/>
      <c r="N40" s="12"/>
      <c r="O40" s="2"/>
      <c r="P40" s="56"/>
      <c r="Q40" s="9"/>
      <c r="R40" s="10"/>
      <c r="S40" s="11"/>
      <c r="T40" s="12"/>
      <c r="U40" s="12"/>
      <c r="V40" s="12"/>
      <c r="W40" s="12"/>
      <c r="X40" s="2"/>
      <c r="Y40" s="2"/>
      <c r="Z40" s="2"/>
      <c r="AA40" s="2"/>
      <c r="AB40" s="59"/>
      <c r="AC40" s="62"/>
      <c r="AD40" s="2"/>
      <c r="AE40" s="2"/>
      <c r="AF40" s="2"/>
      <c r="AG40" s="2"/>
      <c r="AH40" s="2"/>
      <c r="AI40" s="12"/>
      <c r="AJ40" s="12"/>
      <c r="AK40" s="12"/>
      <c r="AL40" s="13"/>
      <c r="AM40" s="11"/>
      <c r="AN40" s="12"/>
      <c r="AO40" s="4"/>
      <c r="AP40" s="14"/>
      <c r="AQ40" s="2"/>
      <c r="AR40" s="15"/>
      <c r="AS40" s="16"/>
      <c r="AT40" s="15"/>
      <c r="AU40" s="17"/>
      <c r="AV40" s="18"/>
      <c r="AW40" s="18" t="str">
        <f t="shared" si="0"/>
        <v/>
      </c>
      <c r="AX40" s="18" t="str">
        <f t="shared" si="1"/>
        <v/>
      </c>
      <c r="AY40" s="18"/>
      <c r="AZ40" s="18"/>
      <c r="BA40" s="18"/>
      <c r="BB40" s="18"/>
      <c r="BC40" s="18" t="str">
        <f t="shared" si="2"/>
        <v/>
      </c>
      <c r="BD40" s="18" t="str">
        <f t="shared" si="3"/>
        <v/>
      </c>
      <c r="BE40" s="18"/>
      <c r="BF40" s="18" t="str">
        <f t="shared" si="4"/>
        <v/>
      </c>
      <c r="BG40" s="18" t="str">
        <f t="shared" si="5"/>
        <v/>
      </c>
      <c r="BH40" s="18"/>
    </row>
    <row r="41" spans="1:60" ht="8.25" customHeight="1">
      <c r="A41" s="1"/>
      <c r="B41" s="2"/>
      <c r="C41" s="3"/>
      <c r="D41" s="138"/>
      <c r="E41" s="4"/>
      <c r="F41" s="5"/>
      <c r="G41" s="6"/>
      <c r="H41" s="7"/>
      <c r="I41" s="7"/>
      <c r="J41" s="6"/>
      <c r="K41" s="7"/>
      <c r="L41" s="69"/>
      <c r="M41" s="12"/>
      <c r="N41" s="12"/>
      <c r="O41" s="2"/>
      <c r="P41" s="56"/>
      <c r="Q41" s="9"/>
      <c r="R41" s="10"/>
      <c r="S41" s="11"/>
      <c r="T41" s="12"/>
      <c r="U41" s="12"/>
      <c r="V41" s="12"/>
      <c r="W41" s="12"/>
      <c r="X41" s="2"/>
      <c r="Y41" s="2"/>
      <c r="Z41" s="2"/>
      <c r="AA41" s="2"/>
      <c r="AB41" s="59"/>
      <c r="AC41" s="62"/>
      <c r="AD41" s="2"/>
      <c r="AE41" s="2"/>
      <c r="AF41" s="2"/>
      <c r="AG41" s="2"/>
      <c r="AH41" s="2"/>
      <c r="AI41" s="12"/>
      <c r="AJ41" s="12"/>
      <c r="AK41" s="12"/>
      <c r="AL41" s="13"/>
      <c r="AM41" s="11"/>
      <c r="AN41" s="12"/>
      <c r="AO41" s="4"/>
      <c r="AP41" s="14"/>
      <c r="AQ41" s="2"/>
      <c r="AR41" s="15"/>
      <c r="AS41" s="16"/>
      <c r="AT41" s="15"/>
      <c r="AU41" s="17"/>
      <c r="AV41" s="18"/>
      <c r="AW41" s="18" t="str">
        <f t="shared" si="0"/>
        <v/>
      </c>
      <c r="AX41" s="18" t="str">
        <f t="shared" si="1"/>
        <v/>
      </c>
      <c r="AY41" s="18"/>
      <c r="AZ41" s="18"/>
      <c r="BA41" s="18"/>
      <c r="BB41" s="18"/>
      <c r="BC41" s="18" t="str">
        <f t="shared" si="2"/>
        <v/>
      </c>
      <c r="BD41" s="18" t="str">
        <f t="shared" si="3"/>
        <v/>
      </c>
      <c r="BE41" s="18"/>
      <c r="BF41" s="18" t="str">
        <f t="shared" si="4"/>
        <v/>
      </c>
      <c r="BG41" s="18" t="str">
        <f t="shared" si="5"/>
        <v/>
      </c>
      <c r="BH41" s="18"/>
    </row>
    <row r="42" spans="1:60" ht="8.25" customHeight="1">
      <c r="A42" s="1"/>
      <c r="B42" s="2"/>
      <c r="C42" s="3"/>
      <c r="D42" s="138"/>
      <c r="E42" s="4"/>
      <c r="F42" s="5"/>
      <c r="G42" s="6"/>
      <c r="H42" s="7"/>
      <c r="I42" s="7"/>
      <c r="J42" s="6"/>
      <c r="K42" s="7"/>
      <c r="L42" s="69"/>
      <c r="M42" s="12"/>
      <c r="N42" s="12"/>
      <c r="O42" s="2"/>
      <c r="P42" s="56"/>
      <c r="Q42" s="9"/>
      <c r="R42" s="10"/>
      <c r="S42" s="11"/>
      <c r="T42" s="12"/>
      <c r="U42" s="12"/>
      <c r="V42" s="12"/>
      <c r="W42" s="12"/>
      <c r="X42" s="2"/>
      <c r="Y42" s="2"/>
      <c r="Z42" s="2"/>
      <c r="AA42" s="2"/>
      <c r="AB42" s="59"/>
      <c r="AC42" s="62"/>
      <c r="AD42" s="2"/>
      <c r="AE42" s="2"/>
      <c r="AF42" s="2"/>
      <c r="AG42" s="2"/>
      <c r="AH42" s="2"/>
      <c r="AI42" s="12"/>
      <c r="AJ42" s="12"/>
      <c r="AK42" s="12"/>
      <c r="AL42" s="13"/>
      <c r="AM42" s="11"/>
      <c r="AN42" s="12"/>
      <c r="AO42" s="4"/>
      <c r="AP42" s="14"/>
      <c r="AQ42" s="2"/>
      <c r="AR42" s="15"/>
      <c r="AS42" s="16"/>
      <c r="AT42" s="15"/>
      <c r="AU42" s="17"/>
      <c r="AV42" s="18"/>
      <c r="AW42" s="18" t="str">
        <f t="shared" si="0"/>
        <v/>
      </c>
      <c r="AX42" s="18" t="str">
        <f t="shared" si="1"/>
        <v/>
      </c>
      <c r="AY42" s="18"/>
      <c r="AZ42" s="18"/>
      <c r="BA42" s="18"/>
      <c r="BB42" s="18"/>
      <c r="BC42" s="18" t="str">
        <f t="shared" si="2"/>
        <v/>
      </c>
      <c r="BD42" s="18" t="str">
        <f t="shared" si="3"/>
        <v/>
      </c>
      <c r="BE42" s="18"/>
      <c r="BF42" s="18" t="str">
        <f t="shared" si="4"/>
        <v/>
      </c>
      <c r="BG42" s="18" t="str">
        <f t="shared" si="5"/>
        <v/>
      </c>
      <c r="BH42" s="18"/>
    </row>
    <row r="43" spans="1:60" ht="8.25" customHeight="1">
      <c r="A43" s="1"/>
      <c r="B43" s="2"/>
      <c r="C43" s="3"/>
      <c r="D43" s="138"/>
      <c r="E43" s="4"/>
      <c r="F43" s="5"/>
      <c r="G43" s="6"/>
      <c r="H43" s="7"/>
      <c r="I43" s="7"/>
      <c r="J43" s="6"/>
      <c r="K43" s="7"/>
      <c r="L43" s="69"/>
      <c r="M43" s="12"/>
      <c r="N43" s="12"/>
      <c r="O43" s="2"/>
      <c r="P43" s="56"/>
      <c r="Q43" s="9"/>
      <c r="R43" s="10"/>
      <c r="S43" s="11"/>
      <c r="T43" s="12"/>
      <c r="U43" s="12"/>
      <c r="V43" s="12"/>
      <c r="W43" s="12"/>
      <c r="X43" s="2"/>
      <c r="Y43" s="2"/>
      <c r="Z43" s="2"/>
      <c r="AA43" s="2"/>
      <c r="AB43" s="59"/>
      <c r="AC43" s="62"/>
      <c r="AD43" s="2"/>
      <c r="AE43" s="2"/>
      <c r="AF43" s="2"/>
      <c r="AG43" s="2"/>
      <c r="AH43" s="2"/>
      <c r="AI43" s="12"/>
      <c r="AJ43" s="12"/>
      <c r="AK43" s="12"/>
      <c r="AL43" s="13"/>
      <c r="AM43" s="11"/>
      <c r="AN43" s="12"/>
      <c r="AO43" s="4"/>
      <c r="AP43" s="14"/>
      <c r="AQ43" s="2"/>
      <c r="AR43" s="15"/>
      <c r="AS43" s="16"/>
      <c r="AT43" s="15"/>
      <c r="AU43" s="17"/>
      <c r="AV43" s="18"/>
      <c r="AW43" s="18" t="str">
        <f t="shared" si="0"/>
        <v/>
      </c>
      <c r="AX43" s="18" t="str">
        <f t="shared" si="1"/>
        <v/>
      </c>
      <c r="AY43" s="18"/>
      <c r="AZ43" s="18"/>
      <c r="BA43" s="18"/>
      <c r="BB43" s="18"/>
      <c r="BC43" s="18" t="str">
        <f t="shared" si="2"/>
        <v/>
      </c>
      <c r="BD43" s="18" t="str">
        <f t="shared" si="3"/>
        <v/>
      </c>
      <c r="BE43" s="18"/>
      <c r="BF43" s="18" t="str">
        <f t="shared" si="4"/>
        <v/>
      </c>
      <c r="BG43" s="18" t="str">
        <f t="shared" si="5"/>
        <v/>
      </c>
      <c r="BH43" s="18"/>
    </row>
    <row r="44" spans="1:60" ht="8.25" customHeight="1">
      <c r="A44" s="1"/>
      <c r="B44" s="2"/>
      <c r="C44" s="3"/>
      <c r="D44" s="138"/>
      <c r="E44" s="4"/>
      <c r="F44" s="5"/>
      <c r="G44" s="6"/>
      <c r="H44" s="7"/>
      <c r="I44" s="7"/>
      <c r="J44" s="6"/>
      <c r="K44" s="7"/>
      <c r="L44" s="69"/>
      <c r="M44" s="12"/>
      <c r="N44" s="12"/>
      <c r="O44" s="2"/>
      <c r="P44" s="56"/>
      <c r="Q44" s="9"/>
      <c r="R44" s="10"/>
      <c r="S44" s="11"/>
      <c r="T44" s="12"/>
      <c r="U44" s="12"/>
      <c r="V44" s="12"/>
      <c r="W44" s="12"/>
      <c r="X44" s="2"/>
      <c r="Y44" s="2"/>
      <c r="Z44" s="2"/>
      <c r="AA44" s="2"/>
      <c r="AB44" s="59"/>
      <c r="AC44" s="62"/>
      <c r="AD44" s="2"/>
      <c r="AE44" s="2"/>
      <c r="AF44" s="2"/>
      <c r="AG44" s="2"/>
      <c r="AH44" s="2"/>
      <c r="AI44" s="12"/>
      <c r="AJ44" s="12"/>
      <c r="AK44" s="12"/>
      <c r="AL44" s="13"/>
      <c r="AM44" s="11"/>
      <c r="AN44" s="12"/>
      <c r="AO44" s="4"/>
      <c r="AP44" s="14"/>
      <c r="AQ44" s="2"/>
      <c r="AR44" s="15"/>
      <c r="AS44" s="16"/>
      <c r="AT44" s="15"/>
      <c r="AU44" s="17"/>
      <c r="AV44" s="18"/>
      <c r="AW44" s="18" t="str">
        <f t="shared" si="0"/>
        <v/>
      </c>
      <c r="AX44" s="18" t="str">
        <f t="shared" si="1"/>
        <v/>
      </c>
      <c r="AY44" s="18"/>
      <c r="AZ44" s="18"/>
      <c r="BA44" s="18"/>
      <c r="BB44" s="18"/>
      <c r="BC44" s="18" t="str">
        <f t="shared" si="2"/>
        <v/>
      </c>
      <c r="BD44" s="18" t="str">
        <f t="shared" si="3"/>
        <v/>
      </c>
      <c r="BE44" s="18"/>
      <c r="BF44" s="18" t="str">
        <f t="shared" si="4"/>
        <v/>
      </c>
      <c r="BG44" s="18" t="str">
        <f t="shared" si="5"/>
        <v/>
      </c>
      <c r="BH44" s="18"/>
    </row>
    <row r="45" spans="1:60" ht="8.25" customHeight="1">
      <c r="A45" s="1"/>
      <c r="B45" s="2"/>
      <c r="C45" s="3"/>
      <c r="D45" s="138"/>
      <c r="E45" s="4"/>
      <c r="F45" s="5"/>
      <c r="G45" s="6"/>
      <c r="H45" s="7"/>
      <c r="I45" s="7"/>
      <c r="J45" s="6"/>
      <c r="K45" s="7"/>
      <c r="L45" s="69"/>
      <c r="M45" s="12"/>
      <c r="N45" s="12"/>
      <c r="O45" s="2"/>
      <c r="P45" s="56"/>
      <c r="Q45" s="9"/>
      <c r="R45" s="10"/>
      <c r="S45" s="11"/>
      <c r="T45" s="12"/>
      <c r="U45" s="12"/>
      <c r="V45" s="12"/>
      <c r="W45" s="12"/>
      <c r="X45" s="2"/>
      <c r="Y45" s="2"/>
      <c r="Z45" s="2"/>
      <c r="AA45" s="2"/>
      <c r="AB45" s="59"/>
      <c r="AC45" s="62"/>
      <c r="AD45" s="2"/>
      <c r="AE45" s="2"/>
      <c r="AF45" s="2"/>
      <c r="AG45" s="2"/>
      <c r="AH45" s="2"/>
      <c r="AI45" s="12"/>
      <c r="AJ45" s="12"/>
      <c r="AK45" s="12"/>
      <c r="AL45" s="13"/>
      <c r="AM45" s="11"/>
      <c r="AN45" s="12"/>
      <c r="AO45" s="4"/>
      <c r="AP45" s="14"/>
      <c r="AQ45" s="2"/>
      <c r="AR45" s="15"/>
      <c r="AS45" s="16"/>
      <c r="AT45" s="15"/>
      <c r="AU45" s="17"/>
      <c r="AV45" s="18"/>
      <c r="AW45" s="18" t="str">
        <f t="shared" si="0"/>
        <v/>
      </c>
      <c r="AX45" s="18" t="str">
        <f t="shared" si="1"/>
        <v/>
      </c>
      <c r="AY45" s="18"/>
      <c r="AZ45" s="18"/>
      <c r="BA45" s="18"/>
      <c r="BB45" s="18"/>
      <c r="BC45" s="18" t="str">
        <f t="shared" si="2"/>
        <v/>
      </c>
      <c r="BD45" s="18" t="str">
        <f t="shared" si="3"/>
        <v/>
      </c>
      <c r="BE45" s="18"/>
      <c r="BF45" s="18" t="str">
        <f t="shared" si="4"/>
        <v/>
      </c>
      <c r="BG45" s="18" t="str">
        <f t="shared" si="5"/>
        <v/>
      </c>
      <c r="BH45" s="18"/>
    </row>
    <row r="46" spans="1:60" ht="8.25" customHeight="1">
      <c r="A46" s="1"/>
      <c r="B46" s="2"/>
      <c r="C46" s="3"/>
      <c r="D46" s="138"/>
      <c r="E46" s="4"/>
      <c r="F46" s="5"/>
      <c r="G46" s="6"/>
      <c r="H46" s="7"/>
      <c r="I46" s="7"/>
      <c r="J46" s="6"/>
      <c r="K46" s="7"/>
      <c r="L46" s="69"/>
      <c r="M46" s="12"/>
      <c r="N46" s="12"/>
      <c r="O46" s="2"/>
      <c r="P46" s="56"/>
      <c r="Q46" s="9"/>
      <c r="R46" s="10"/>
      <c r="S46" s="11"/>
      <c r="T46" s="12"/>
      <c r="U46" s="12"/>
      <c r="V46" s="12"/>
      <c r="W46" s="12"/>
      <c r="X46" s="2"/>
      <c r="Y46" s="2"/>
      <c r="Z46" s="2"/>
      <c r="AA46" s="2"/>
      <c r="AB46" s="59"/>
      <c r="AC46" s="62"/>
      <c r="AD46" s="2"/>
      <c r="AE46" s="2"/>
      <c r="AF46" s="2"/>
      <c r="AG46" s="2"/>
      <c r="AH46" s="2"/>
      <c r="AI46" s="12"/>
      <c r="AJ46" s="12"/>
      <c r="AK46" s="12"/>
      <c r="AL46" s="13"/>
      <c r="AM46" s="11"/>
      <c r="AN46" s="12"/>
      <c r="AO46" s="4"/>
      <c r="AP46" s="14"/>
      <c r="AQ46" s="2"/>
      <c r="AR46" s="15"/>
      <c r="AS46" s="16"/>
      <c r="AT46" s="15"/>
      <c r="AU46" s="17"/>
      <c r="AV46" s="18"/>
      <c r="AW46" s="18" t="str">
        <f t="shared" si="0"/>
        <v/>
      </c>
      <c r="AX46" s="18" t="str">
        <f t="shared" si="1"/>
        <v/>
      </c>
      <c r="AY46" s="18"/>
      <c r="AZ46" s="18"/>
      <c r="BA46" s="18"/>
      <c r="BB46" s="18"/>
      <c r="BC46" s="18" t="str">
        <f t="shared" si="2"/>
        <v/>
      </c>
      <c r="BD46" s="18" t="str">
        <f t="shared" si="3"/>
        <v/>
      </c>
      <c r="BE46" s="18"/>
      <c r="BF46" s="18" t="str">
        <f t="shared" si="4"/>
        <v/>
      </c>
      <c r="BG46" s="18" t="str">
        <f t="shared" si="5"/>
        <v/>
      </c>
      <c r="BH46" s="18"/>
    </row>
    <row r="47" spans="1:60" ht="8.25" customHeight="1">
      <c r="A47" s="1"/>
      <c r="B47" s="2"/>
      <c r="C47" s="3"/>
      <c r="D47" s="138"/>
      <c r="E47" s="4"/>
      <c r="F47" s="5"/>
      <c r="G47" s="6"/>
      <c r="H47" s="7"/>
      <c r="I47" s="7"/>
      <c r="J47" s="6"/>
      <c r="K47" s="7"/>
      <c r="L47" s="69"/>
      <c r="M47" s="12"/>
      <c r="N47" s="12"/>
      <c r="O47" s="2"/>
      <c r="P47" s="56"/>
      <c r="Q47" s="9"/>
      <c r="R47" s="10"/>
      <c r="S47" s="11"/>
      <c r="T47" s="12"/>
      <c r="U47" s="12"/>
      <c r="V47" s="12"/>
      <c r="W47" s="12"/>
      <c r="X47" s="2"/>
      <c r="Y47" s="2"/>
      <c r="Z47" s="2"/>
      <c r="AA47" s="2"/>
      <c r="AB47" s="59"/>
      <c r="AC47" s="62"/>
      <c r="AD47" s="2"/>
      <c r="AE47" s="2"/>
      <c r="AF47" s="2"/>
      <c r="AG47" s="2"/>
      <c r="AH47" s="2"/>
      <c r="AI47" s="12"/>
      <c r="AJ47" s="12"/>
      <c r="AK47" s="12"/>
      <c r="AL47" s="13"/>
      <c r="AM47" s="11"/>
      <c r="AN47" s="12"/>
      <c r="AO47" s="4"/>
      <c r="AP47" s="14"/>
      <c r="AQ47" s="2"/>
      <c r="AR47" s="15"/>
      <c r="AS47" s="16"/>
      <c r="AT47" s="15"/>
      <c r="AU47" s="17"/>
      <c r="AV47" s="18"/>
      <c r="AW47" s="18" t="str">
        <f t="shared" si="0"/>
        <v/>
      </c>
      <c r="AX47" s="18" t="str">
        <f t="shared" si="1"/>
        <v/>
      </c>
      <c r="AY47" s="18"/>
      <c r="AZ47" s="18"/>
      <c r="BA47" s="18"/>
      <c r="BB47" s="18"/>
      <c r="BC47" s="18" t="str">
        <f t="shared" si="2"/>
        <v/>
      </c>
      <c r="BD47" s="18" t="str">
        <f t="shared" si="3"/>
        <v/>
      </c>
      <c r="BE47" s="18"/>
      <c r="BF47" s="18" t="str">
        <f t="shared" si="4"/>
        <v/>
      </c>
      <c r="BG47" s="18" t="str">
        <f t="shared" si="5"/>
        <v/>
      </c>
      <c r="BH47" s="18"/>
    </row>
    <row r="48" spans="1:60" ht="8.25" customHeight="1">
      <c r="A48" s="1"/>
      <c r="B48" s="2"/>
      <c r="C48" s="3"/>
      <c r="D48" s="138"/>
      <c r="E48" s="4"/>
      <c r="F48" s="5"/>
      <c r="G48" s="6"/>
      <c r="H48" s="7"/>
      <c r="I48" s="7"/>
      <c r="J48" s="6"/>
      <c r="K48" s="7"/>
      <c r="L48" s="69"/>
      <c r="M48" s="12"/>
      <c r="N48" s="12"/>
      <c r="O48" s="2"/>
      <c r="P48" s="56"/>
      <c r="Q48" s="9"/>
      <c r="R48" s="10"/>
      <c r="S48" s="11"/>
      <c r="T48" s="12"/>
      <c r="U48" s="12"/>
      <c r="V48" s="12"/>
      <c r="W48" s="12"/>
      <c r="X48" s="2"/>
      <c r="Y48" s="2"/>
      <c r="Z48" s="2"/>
      <c r="AA48" s="2"/>
      <c r="AB48" s="59"/>
      <c r="AC48" s="62"/>
      <c r="AD48" s="2"/>
      <c r="AE48" s="2"/>
      <c r="AF48" s="2"/>
      <c r="AG48" s="2"/>
      <c r="AH48" s="2"/>
      <c r="AI48" s="12"/>
      <c r="AJ48" s="12"/>
      <c r="AK48" s="12"/>
      <c r="AL48" s="13"/>
      <c r="AM48" s="11"/>
      <c r="AN48" s="12"/>
      <c r="AO48" s="4"/>
      <c r="AP48" s="14"/>
      <c r="AQ48" s="2"/>
      <c r="AR48" s="15"/>
      <c r="AS48" s="16"/>
      <c r="AT48" s="15"/>
      <c r="AU48" s="17"/>
      <c r="AV48" s="18"/>
      <c r="AW48" s="18" t="str">
        <f t="shared" si="0"/>
        <v/>
      </c>
      <c r="AX48" s="18" t="str">
        <f t="shared" si="1"/>
        <v/>
      </c>
      <c r="AY48" s="18"/>
      <c r="AZ48" s="18"/>
      <c r="BA48" s="18"/>
      <c r="BB48" s="18"/>
      <c r="BC48" s="18" t="str">
        <f t="shared" si="2"/>
        <v/>
      </c>
      <c r="BD48" s="18" t="str">
        <f t="shared" si="3"/>
        <v/>
      </c>
      <c r="BE48" s="18"/>
      <c r="BF48" s="18" t="str">
        <f t="shared" si="4"/>
        <v/>
      </c>
      <c r="BG48" s="18" t="str">
        <f t="shared" si="5"/>
        <v/>
      </c>
      <c r="BH48" s="18"/>
    </row>
    <row r="49" spans="1:60" ht="8.25" customHeight="1">
      <c r="A49" s="1"/>
      <c r="B49" s="2"/>
      <c r="C49" s="3"/>
      <c r="D49" s="138"/>
      <c r="E49" s="4"/>
      <c r="F49" s="5"/>
      <c r="G49" s="6"/>
      <c r="H49" s="7"/>
      <c r="I49" s="7"/>
      <c r="J49" s="6"/>
      <c r="K49" s="7"/>
      <c r="L49" s="69"/>
      <c r="M49" s="12"/>
      <c r="N49" s="12"/>
      <c r="O49" s="2"/>
      <c r="P49" s="56"/>
      <c r="Q49" s="9"/>
      <c r="R49" s="10"/>
      <c r="S49" s="11"/>
      <c r="T49" s="12"/>
      <c r="U49" s="12"/>
      <c r="V49" s="12"/>
      <c r="W49" s="12"/>
      <c r="X49" s="2"/>
      <c r="Y49" s="2"/>
      <c r="Z49" s="2"/>
      <c r="AA49" s="2"/>
      <c r="AB49" s="59"/>
      <c r="AC49" s="62"/>
      <c r="AD49" s="2"/>
      <c r="AE49" s="2"/>
      <c r="AF49" s="2"/>
      <c r="AG49" s="2"/>
      <c r="AH49" s="2"/>
      <c r="AI49" s="12"/>
      <c r="AJ49" s="12"/>
      <c r="AK49" s="12"/>
      <c r="AL49" s="13"/>
      <c r="AM49" s="11"/>
      <c r="AN49" s="12"/>
      <c r="AO49" s="4"/>
      <c r="AP49" s="14"/>
      <c r="AQ49" s="2"/>
      <c r="AR49" s="15"/>
      <c r="AS49" s="16"/>
      <c r="AT49" s="15"/>
      <c r="AU49" s="17"/>
      <c r="AV49" s="18"/>
      <c r="AW49" s="18" t="str">
        <f t="shared" si="0"/>
        <v/>
      </c>
      <c r="AX49" s="18" t="str">
        <f t="shared" si="1"/>
        <v/>
      </c>
      <c r="AY49" s="18"/>
      <c r="AZ49" s="18"/>
      <c r="BA49" s="18"/>
      <c r="BB49" s="18"/>
      <c r="BC49" s="18" t="str">
        <f t="shared" si="2"/>
        <v/>
      </c>
      <c r="BD49" s="18" t="str">
        <f t="shared" si="3"/>
        <v/>
      </c>
      <c r="BE49" s="18"/>
      <c r="BF49" s="18" t="str">
        <f t="shared" si="4"/>
        <v/>
      </c>
      <c r="BG49" s="18" t="str">
        <f t="shared" si="5"/>
        <v/>
      </c>
      <c r="BH49" s="18"/>
    </row>
    <row r="50" spans="1:60" ht="8.25" customHeight="1">
      <c r="A50" s="1"/>
      <c r="B50" s="2"/>
      <c r="C50" s="3"/>
      <c r="D50" s="138"/>
      <c r="E50" s="4"/>
      <c r="F50" s="5"/>
      <c r="G50" s="6"/>
      <c r="H50" s="7"/>
      <c r="I50" s="7"/>
      <c r="J50" s="6"/>
      <c r="K50" s="7"/>
      <c r="L50" s="69"/>
      <c r="M50" s="12"/>
      <c r="N50" s="12"/>
      <c r="O50" s="2"/>
      <c r="P50" s="56"/>
      <c r="Q50" s="9"/>
      <c r="R50" s="10"/>
      <c r="S50" s="11"/>
      <c r="T50" s="12"/>
      <c r="U50" s="12"/>
      <c r="V50" s="12"/>
      <c r="W50" s="12"/>
      <c r="X50" s="2"/>
      <c r="Y50" s="2"/>
      <c r="Z50" s="2"/>
      <c r="AA50" s="2"/>
      <c r="AB50" s="59"/>
      <c r="AC50" s="62"/>
      <c r="AD50" s="2"/>
      <c r="AE50" s="2"/>
      <c r="AF50" s="2"/>
      <c r="AG50" s="2"/>
      <c r="AH50" s="2"/>
      <c r="AI50" s="12"/>
      <c r="AJ50" s="12"/>
      <c r="AK50" s="12"/>
      <c r="AL50" s="13"/>
      <c r="AM50" s="11"/>
      <c r="AN50" s="12"/>
      <c r="AO50" s="4"/>
      <c r="AP50" s="14"/>
      <c r="AQ50" s="2"/>
      <c r="AR50" s="15"/>
      <c r="AS50" s="16"/>
      <c r="AT50" s="15"/>
      <c r="AU50" s="17"/>
      <c r="AV50" s="18"/>
      <c r="AW50" s="18" t="str">
        <f t="shared" si="0"/>
        <v/>
      </c>
      <c r="AX50" s="18" t="str">
        <f t="shared" si="1"/>
        <v/>
      </c>
      <c r="AY50" s="18"/>
      <c r="AZ50" s="18"/>
      <c r="BA50" s="18"/>
      <c r="BB50" s="18"/>
      <c r="BC50" s="18" t="str">
        <f t="shared" si="2"/>
        <v/>
      </c>
      <c r="BD50" s="18" t="str">
        <f t="shared" si="3"/>
        <v/>
      </c>
      <c r="BE50" s="18"/>
      <c r="BF50" s="18" t="str">
        <f t="shared" si="4"/>
        <v/>
      </c>
      <c r="BG50" s="18" t="str">
        <f t="shared" si="5"/>
        <v/>
      </c>
      <c r="BH50" s="18"/>
    </row>
    <row r="51" spans="1:60" ht="8.25" customHeight="1">
      <c r="A51" s="1"/>
      <c r="B51" s="2"/>
      <c r="C51" s="3"/>
      <c r="D51" s="138"/>
      <c r="E51" s="4"/>
      <c r="F51" s="5"/>
      <c r="G51" s="6"/>
      <c r="H51" s="7"/>
      <c r="I51" s="7"/>
      <c r="J51" s="6"/>
      <c r="K51" s="7"/>
      <c r="L51" s="69"/>
      <c r="M51" s="12"/>
      <c r="N51" s="12"/>
      <c r="O51" s="2"/>
      <c r="P51" s="56"/>
      <c r="Q51" s="9"/>
      <c r="R51" s="10"/>
      <c r="S51" s="11"/>
      <c r="T51" s="12"/>
      <c r="U51" s="12"/>
      <c r="V51" s="12"/>
      <c r="W51" s="12"/>
      <c r="X51" s="2"/>
      <c r="Y51" s="2"/>
      <c r="Z51" s="2"/>
      <c r="AA51" s="2"/>
      <c r="AB51" s="59"/>
      <c r="AC51" s="62"/>
      <c r="AD51" s="2"/>
      <c r="AE51" s="2"/>
      <c r="AF51" s="2"/>
      <c r="AG51" s="2"/>
      <c r="AH51" s="2"/>
      <c r="AI51" s="12"/>
      <c r="AJ51" s="12"/>
      <c r="AK51" s="12"/>
      <c r="AL51" s="13"/>
      <c r="AM51" s="11"/>
      <c r="AN51" s="12"/>
      <c r="AO51" s="4"/>
      <c r="AP51" s="14"/>
      <c r="AQ51" s="2"/>
      <c r="AR51" s="15"/>
      <c r="AS51" s="16"/>
      <c r="AT51" s="15"/>
      <c r="AU51" s="17"/>
      <c r="AV51" s="18"/>
      <c r="AW51" s="18" t="str">
        <f t="shared" si="0"/>
        <v/>
      </c>
      <c r="AX51" s="18" t="str">
        <f t="shared" si="1"/>
        <v/>
      </c>
      <c r="AY51" s="18"/>
      <c r="AZ51" s="18"/>
      <c r="BA51" s="18"/>
      <c r="BB51" s="18"/>
      <c r="BC51" s="18" t="str">
        <f t="shared" si="2"/>
        <v/>
      </c>
      <c r="BD51" s="18" t="str">
        <f t="shared" si="3"/>
        <v/>
      </c>
      <c r="BE51" s="18"/>
      <c r="BF51" s="18" t="str">
        <f t="shared" si="4"/>
        <v/>
      </c>
      <c r="BG51" s="18" t="str">
        <f t="shared" si="5"/>
        <v/>
      </c>
      <c r="BH51" s="18"/>
    </row>
    <row r="52" spans="1:60" ht="8.25" customHeight="1">
      <c r="A52" s="1"/>
      <c r="B52" s="2"/>
      <c r="C52" s="3"/>
      <c r="D52" s="138"/>
      <c r="E52" s="4"/>
      <c r="F52" s="5"/>
      <c r="G52" s="6"/>
      <c r="H52" s="7"/>
      <c r="I52" s="7"/>
      <c r="J52" s="6"/>
      <c r="K52" s="7"/>
      <c r="L52" s="69"/>
      <c r="M52" s="12"/>
      <c r="N52" s="12"/>
      <c r="O52" s="2"/>
      <c r="P52" s="56"/>
      <c r="Q52" s="9"/>
      <c r="R52" s="10"/>
      <c r="S52" s="11"/>
      <c r="T52" s="12"/>
      <c r="U52" s="12"/>
      <c r="V52" s="12"/>
      <c r="W52" s="12"/>
      <c r="X52" s="2"/>
      <c r="Y52" s="2"/>
      <c r="Z52" s="2"/>
      <c r="AA52" s="2"/>
      <c r="AB52" s="59"/>
      <c r="AC52" s="62"/>
      <c r="AD52" s="2"/>
      <c r="AE52" s="2"/>
      <c r="AF52" s="2"/>
      <c r="AG52" s="2"/>
      <c r="AH52" s="2"/>
      <c r="AI52" s="12"/>
      <c r="AJ52" s="12"/>
      <c r="AK52" s="12"/>
      <c r="AL52" s="13"/>
      <c r="AM52" s="11"/>
      <c r="AN52" s="12"/>
      <c r="AO52" s="4"/>
      <c r="AP52" s="14"/>
      <c r="AQ52" s="2"/>
      <c r="AR52" s="15"/>
      <c r="AS52" s="16"/>
      <c r="AT52" s="15"/>
      <c r="AU52" s="17"/>
      <c r="AV52" s="18"/>
      <c r="AW52" s="18" t="str">
        <f t="shared" si="0"/>
        <v/>
      </c>
      <c r="AX52" s="18" t="str">
        <f t="shared" si="1"/>
        <v/>
      </c>
      <c r="AY52" s="18"/>
      <c r="AZ52" s="18"/>
      <c r="BA52" s="18"/>
      <c r="BB52" s="18"/>
      <c r="BC52" s="18" t="str">
        <f t="shared" si="2"/>
        <v/>
      </c>
      <c r="BD52" s="18" t="str">
        <f t="shared" si="3"/>
        <v/>
      </c>
      <c r="BE52" s="18"/>
      <c r="BF52" s="18" t="str">
        <f t="shared" si="4"/>
        <v/>
      </c>
      <c r="BG52" s="18" t="str">
        <f t="shared" si="5"/>
        <v/>
      </c>
      <c r="BH52" s="18"/>
    </row>
    <row r="53" spans="1:60" ht="8.25" customHeight="1">
      <c r="A53" s="1"/>
      <c r="B53" s="2"/>
      <c r="C53" s="3"/>
      <c r="D53" s="138"/>
      <c r="E53" s="4"/>
      <c r="F53" s="5"/>
      <c r="G53" s="6"/>
      <c r="H53" s="7"/>
      <c r="I53" s="7"/>
      <c r="J53" s="6"/>
      <c r="K53" s="7"/>
      <c r="L53" s="69"/>
      <c r="M53" s="12"/>
      <c r="N53" s="12"/>
      <c r="O53" s="2"/>
      <c r="P53" s="56"/>
      <c r="Q53" s="9"/>
      <c r="R53" s="10"/>
      <c r="S53" s="11"/>
      <c r="T53" s="12"/>
      <c r="U53" s="12"/>
      <c r="V53" s="12"/>
      <c r="W53" s="12"/>
      <c r="X53" s="2"/>
      <c r="Y53" s="2"/>
      <c r="Z53" s="2"/>
      <c r="AA53" s="2"/>
      <c r="AB53" s="59"/>
      <c r="AC53" s="62"/>
      <c r="AD53" s="2"/>
      <c r="AE53" s="2"/>
      <c r="AF53" s="2"/>
      <c r="AG53" s="2"/>
      <c r="AH53" s="2"/>
      <c r="AI53" s="12"/>
      <c r="AJ53" s="12"/>
      <c r="AK53" s="12"/>
      <c r="AL53" s="13"/>
      <c r="AM53" s="11"/>
      <c r="AN53" s="12"/>
      <c r="AO53" s="4"/>
      <c r="AP53" s="14"/>
      <c r="AQ53" s="2"/>
      <c r="AR53" s="15"/>
      <c r="AS53" s="16"/>
      <c r="AT53" s="15"/>
      <c r="AU53" s="17"/>
      <c r="AV53" s="18"/>
      <c r="AW53" s="18" t="str">
        <f t="shared" si="0"/>
        <v/>
      </c>
      <c r="AX53" s="18" t="str">
        <f t="shared" si="1"/>
        <v/>
      </c>
      <c r="AY53" s="18"/>
      <c r="AZ53" s="18"/>
      <c r="BA53" s="18"/>
      <c r="BB53" s="18"/>
      <c r="BC53" s="18" t="str">
        <f t="shared" si="2"/>
        <v/>
      </c>
      <c r="BD53" s="18" t="str">
        <f t="shared" si="3"/>
        <v/>
      </c>
      <c r="BE53" s="18"/>
      <c r="BF53" s="18" t="str">
        <f t="shared" si="4"/>
        <v/>
      </c>
      <c r="BG53" s="18" t="str">
        <f t="shared" si="5"/>
        <v/>
      </c>
      <c r="BH53" s="18"/>
    </row>
    <row r="54" spans="1:60" ht="8.25" customHeight="1">
      <c r="A54" s="1"/>
      <c r="B54" s="2"/>
      <c r="C54" s="3"/>
      <c r="D54" s="138"/>
      <c r="E54" s="4"/>
      <c r="F54" s="5"/>
      <c r="G54" s="6"/>
      <c r="H54" s="7"/>
      <c r="I54" s="7"/>
      <c r="J54" s="6"/>
      <c r="K54" s="7"/>
      <c r="L54" s="69"/>
      <c r="M54" s="12"/>
      <c r="N54" s="12"/>
      <c r="O54" s="2"/>
      <c r="P54" s="56"/>
      <c r="Q54" s="9"/>
      <c r="R54" s="10"/>
      <c r="S54" s="11"/>
      <c r="T54" s="12"/>
      <c r="U54" s="12"/>
      <c r="V54" s="12"/>
      <c r="W54" s="12"/>
      <c r="X54" s="2"/>
      <c r="Y54" s="2"/>
      <c r="Z54" s="2"/>
      <c r="AA54" s="2"/>
      <c r="AB54" s="59"/>
      <c r="AC54" s="62"/>
      <c r="AD54" s="2"/>
      <c r="AE54" s="2"/>
      <c r="AF54" s="2"/>
      <c r="AG54" s="2"/>
      <c r="AH54" s="2"/>
      <c r="AI54" s="12"/>
      <c r="AJ54" s="12"/>
      <c r="AK54" s="12"/>
      <c r="AL54" s="13"/>
      <c r="AM54" s="11"/>
      <c r="AN54" s="12"/>
      <c r="AO54" s="4"/>
      <c r="AP54" s="14"/>
      <c r="AQ54" s="2"/>
      <c r="AR54" s="15"/>
      <c r="AS54" s="16"/>
      <c r="AT54" s="15"/>
      <c r="AU54" s="17"/>
      <c r="AV54" s="18"/>
      <c r="AW54" s="18" t="str">
        <f t="shared" si="0"/>
        <v/>
      </c>
      <c r="AX54" s="18" t="str">
        <f t="shared" si="1"/>
        <v/>
      </c>
      <c r="AY54" s="18"/>
      <c r="AZ54" s="18"/>
      <c r="BA54" s="18"/>
      <c r="BB54" s="18"/>
      <c r="BC54" s="18" t="str">
        <f t="shared" si="2"/>
        <v/>
      </c>
      <c r="BD54" s="18" t="str">
        <f t="shared" si="3"/>
        <v/>
      </c>
      <c r="BE54" s="18"/>
      <c r="BF54" s="18" t="str">
        <f t="shared" si="4"/>
        <v/>
      </c>
      <c r="BG54" s="18" t="str">
        <f t="shared" si="5"/>
        <v/>
      </c>
      <c r="BH54" s="18"/>
    </row>
    <row r="55" spans="1:60" ht="8.25" customHeight="1" thickBot="1">
      <c r="A55" s="31"/>
      <c r="B55" s="32"/>
      <c r="C55" s="33"/>
      <c r="D55" s="34"/>
      <c r="E55" s="35"/>
      <c r="F55" s="36"/>
      <c r="G55" s="32"/>
      <c r="H55" s="37"/>
      <c r="I55" s="37"/>
      <c r="J55" s="32"/>
      <c r="K55" s="37"/>
      <c r="L55" s="70"/>
      <c r="M55" s="39"/>
      <c r="N55" s="39"/>
      <c r="O55" s="32"/>
      <c r="P55" s="57"/>
      <c r="Q55" s="41"/>
      <c r="R55" s="42"/>
      <c r="S55" s="43"/>
      <c r="T55" s="39"/>
      <c r="U55" s="39"/>
      <c r="V55" s="39"/>
      <c r="W55" s="39"/>
      <c r="X55" s="39"/>
      <c r="Y55" s="39"/>
      <c r="Z55" s="39"/>
      <c r="AA55" s="39"/>
      <c r="AB55" s="60"/>
      <c r="AC55" s="63"/>
      <c r="AD55" s="39"/>
      <c r="AE55" s="39"/>
      <c r="AF55" s="39"/>
      <c r="AG55" s="39"/>
      <c r="AH55" s="39"/>
      <c r="AI55" s="39"/>
      <c r="AJ55" s="39"/>
      <c r="AK55" s="39"/>
      <c r="AL55" s="40"/>
      <c r="AM55" s="43"/>
      <c r="AN55" s="39"/>
      <c r="AO55" s="35"/>
      <c r="AP55" s="43"/>
      <c r="AQ55" s="37"/>
      <c r="AR55" s="37"/>
      <c r="AS55" s="32"/>
      <c r="AT55" s="37"/>
      <c r="AU55" s="44"/>
      <c r="AV55" s="18"/>
      <c r="AW55" s="18" t="str">
        <f t="shared" si="0"/>
        <v/>
      </c>
      <c r="AX55" s="18" t="str">
        <f t="shared" si="1"/>
        <v/>
      </c>
      <c r="AY55" s="18"/>
      <c r="AZ55" s="18"/>
      <c r="BA55" s="18"/>
      <c r="BB55" s="18"/>
      <c r="BC55" s="18" t="str">
        <f t="shared" si="2"/>
        <v/>
      </c>
      <c r="BD55" s="18" t="str">
        <f t="shared" si="3"/>
        <v/>
      </c>
      <c r="BE55" s="18"/>
      <c r="BF55" s="18" t="str">
        <f t="shared" si="4"/>
        <v/>
      </c>
      <c r="BG55" s="18" t="str">
        <f t="shared" si="5"/>
        <v/>
      </c>
      <c r="BH55" s="18"/>
    </row>
    <row r="56" spans="1:60" ht="9" customHeight="1" thickBot="1">
      <c r="A56" s="78"/>
      <c r="B56" s="74"/>
      <c r="C56" s="18"/>
      <c r="D56" s="78"/>
      <c r="E56" s="78"/>
      <c r="F56" s="79"/>
      <c r="G56" s="18"/>
      <c r="H56" s="79"/>
      <c r="I56" s="78"/>
      <c r="J56" s="75"/>
      <c r="K56" s="78"/>
      <c r="L56" s="337"/>
      <c r="M56" s="368"/>
      <c r="N56" s="368"/>
      <c r="O56" s="78"/>
      <c r="P56" s="78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18"/>
      <c r="AX56" s="18"/>
      <c r="AY56" s="18"/>
      <c r="AZ56" s="79"/>
      <c r="BA56" s="79"/>
      <c r="BB56" s="79"/>
      <c r="BC56" s="18"/>
      <c r="BD56" s="18"/>
      <c r="BE56" s="18"/>
      <c r="BF56" s="18"/>
      <c r="BG56" s="18"/>
      <c r="BH56" s="18"/>
    </row>
    <row r="57" spans="1:60" ht="8.25" customHeight="1">
      <c r="A57" s="78"/>
      <c r="B57" s="74"/>
      <c r="C57" s="78"/>
      <c r="D57" s="78"/>
      <c r="E57" s="78"/>
      <c r="F57" s="79"/>
      <c r="G57" s="18"/>
      <c r="H57" s="79"/>
      <c r="I57" s="78"/>
      <c r="J57" s="75"/>
      <c r="K57" s="78"/>
      <c r="L57" s="337"/>
      <c r="M57" s="368"/>
      <c r="N57" s="368"/>
      <c r="O57" s="78"/>
      <c r="P57" s="78"/>
      <c r="Q57" s="79"/>
      <c r="R57" s="144" t="s">
        <v>59</v>
      </c>
      <c r="S57" s="45">
        <f>AVERAGE(S$5:S55)</f>
        <v>0</v>
      </c>
      <c r="T57" s="45">
        <f>AVERAGE(T$5:T55)</f>
        <v>0</v>
      </c>
      <c r="U57" s="45">
        <f>AVERAGE(U$5:U55)</f>
        <v>0</v>
      </c>
      <c r="V57" s="45">
        <f>AVERAGE(V$5:V55)</f>
        <v>0</v>
      </c>
      <c r="W57" s="45">
        <f>AVERAGE(W$5:W55)</f>
        <v>0.25</v>
      </c>
      <c r="X57" s="45">
        <f>AVERAGE(X$5:X55)</f>
        <v>0.625</v>
      </c>
      <c r="Y57" s="45" t="s">
        <v>57</v>
      </c>
      <c r="Z57" s="45" t="s">
        <v>57</v>
      </c>
      <c r="AA57" s="45">
        <f>AVERAGE(AA$5:AA55)</f>
        <v>0</v>
      </c>
      <c r="AB57" s="45">
        <f>AVERAGE(AB$5:AB55)</f>
        <v>0</v>
      </c>
      <c r="AC57" s="45">
        <f>AVERAGE(AC$5:AC55)</f>
        <v>0</v>
      </c>
      <c r="AD57" s="45">
        <f>AVERAGE(AD$5:AD55)</f>
        <v>0</v>
      </c>
      <c r="AE57" s="45">
        <f>AVERAGE(AE$5:AE55)</f>
        <v>0</v>
      </c>
      <c r="AF57" s="45">
        <f>AVERAGE(AF$5:AF55)</f>
        <v>0</v>
      </c>
      <c r="AG57" s="45">
        <f>AVERAGE(AG$5:AG55)</f>
        <v>2</v>
      </c>
      <c r="AH57" s="45">
        <f>AVERAGE(AH$5:AH55)</f>
        <v>1.125</v>
      </c>
      <c r="AI57" s="45" t="s">
        <v>57</v>
      </c>
      <c r="AJ57" s="45" t="s">
        <v>57</v>
      </c>
      <c r="AK57" s="45">
        <f>AVERAGE(AK$5:AK55)</f>
        <v>0</v>
      </c>
      <c r="AL57" s="46">
        <f>AVERAGE(AL$5:AL55)</f>
        <v>0</v>
      </c>
      <c r="AM57" s="80"/>
      <c r="AN57" s="79"/>
      <c r="AO57" s="79"/>
      <c r="AP57" s="47" t="s">
        <v>60</v>
      </c>
      <c r="AQ57" s="45" t="s">
        <v>61</v>
      </c>
      <c r="AR57" s="45" t="s">
        <v>62</v>
      </c>
      <c r="AS57" s="46" t="s">
        <v>41</v>
      </c>
      <c r="AT57" s="79"/>
      <c r="AU57" s="79"/>
      <c r="AV57" s="79"/>
      <c r="AW57" s="76">
        <f t="shared" ref="AW57:BH57" si="6">SUM(AW5:AW55)</f>
        <v>68112</v>
      </c>
      <c r="AX57" s="76">
        <f t="shared" si="6"/>
        <v>110</v>
      </c>
      <c r="AY57" s="76">
        <f t="shared" si="6"/>
        <v>0</v>
      </c>
      <c r="AZ57" s="76">
        <f t="shared" si="6"/>
        <v>0</v>
      </c>
      <c r="BA57" s="76">
        <f t="shared" si="6"/>
        <v>0</v>
      </c>
      <c r="BB57" s="76">
        <f t="shared" si="6"/>
        <v>0</v>
      </c>
      <c r="BC57" s="76">
        <f t="shared" si="6"/>
        <v>110000</v>
      </c>
      <c r="BD57" s="76">
        <f t="shared" si="6"/>
        <v>110</v>
      </c>
      <c r="BE57" s="76">
        <f t="shared" si="6"/>
        <v>0</v>
      </c>
      <c r="BF57" s="76">
        <f t="shared" si="6"/>
        <v>10560</v>
      </c>
      <c r="BG57" s="76">
        <f t="shared" si="6"/>
        <v>110</v>
      </c>
      <c r="BH57" s="76">
        <f t="shared" si="6"/>
        <v>0</v>
      </c>
    </row>
    <row r="58" spans="1:60" ht="8.25" customHeight="1">
      <c r="A58" s="78"/>
      <c r="B58" s="74"/>
      <c r="C58" s="78"/>
      <c r="D58" s="78"/>
      <c r="E58" s="78"/>
      <c r="F58" s="79"/>
      <c r="G58" s="18"/>
      <c r="H58" s="79"/>
      <c r="I58" s="78"/>
      <c r="J58" s="75"/>
      <c r="K58" s="78"/>
      <c r="L58" s="337"/>
      <c r="M58" s="368"/>
      <c r="N58" s="368"/>
      <c r="O58" s="78"/>
      <c r="P58" s="78"/>
      <c r="Q58" s="79"/>
      <c r="R58" s="145" t="s">
        <v>63</v>
      </c>
      <c r="S58" s="2">
        <f>MIN(S$5:S55)</f>
        <v>0</v>
      </c>
      <c r="T58" s="2">
        <f>MIN(T$5:T55)</f>
        <v>0</v>
      </c>
      <c r="U58" s="2">
        <f>MIN(U$5:U55)</f>
        <v>0</v>
      </c>
      <c r="V58" s="2">
        <f>MIN(V$5:V55)</f>
        <v>0</v>
      </c>
      <c r="W58" s="2">
        <f>MIN(W$5:W55)</f>
        <v>0</v>
      </c>
      <c r="X58" s="2">
        <f>MIN(X$5:X55)</f>
        <v>0</v>
      </c>
      <c r="Y58" s="2" t="s">
        <v>57</v>
      </c>
      <c r="Z58" s="2" t="s">
        <v>57</v>
      </c>
      <c r="AA58" s="2">
        <f>MIN(AA$5:AA55)</f>
        <v>0</v>
      </c>
      <c r="AB58" s="2">
        <f>MIN(AB$5:AB55)</f>
        <v>0</v>
      </c>
      <c r="AC58" s="2">
        <f>MIN(AC$5:AC55)</f>
        <v>0</v>
      </c>
      <c r="AD58" s="2">
        <f>MIN(AD$5:AD55)</f>
        <v>0</v>
      </c>
      <c r="AE58" s="2">
        <f>MIN(AE$5:AE55)</f>
        <v>0</v>
      </c>
      <c r="AF58" s="2">
        <f>MIN(AF$5:AF55)</f>
        <v>0</v>
      </c>
      <c r="AG58" s="2">
        <f>MIN(AG$5:AG55)</f>
        <v>0</v>
      </c>
      <c r="AH58" s="2">
        <f>MIN(AH$5:AH55)</f>
        <v>0</v>
      </c>
      <c r="AI58" s="2" t="s">
        <v>57</v>
      </c>
      <c r="AJ58" s="2" t="s">
        <v>57</v>
      </c>
      <c r="AK58" s="2">
        <f>MIN(AK$5:AK55)</f>
        <v>0</v>
      </c>
      <c r="AL58" s="29">
        <f>MIN(AL$5:AL55)</f>
        <v>0</v>
      </c>
      <c r="AM58" s="80"/>
      <c r="AN58" s="79"/>
      <c r="AO58" s="79"/>
      <c r="AP58" s="48" t="s">
        <v>64</v>
      </c>
      <c r="AQ58" s="2" t="s">
        <v>65</v>
      </c>
      <c r="AR58" s="2">
        <f>SUM(AN5:AN55)</f>
        <v>396</v>
      </c>
      <c r="AS58" s="29">
        <f>SUM(AM5:AM55)</f>
        <v>0</v>
      </c>
      <c r="AT58" s="79"/>
      <c r="AU58" s="79"/>
      <c r="AV58" s="79"/>
      <c r="AW58" s="81" t="s">
        <v>45</v>
      </c>
      <c r="AX58" s="81" t="s">
        <v>46</v>
      </c>
      <c r="AY58" s="81" t="s">
        <v>47</v>
      </c>
      <c r="AZ58" s="81" t="s">
        <v>48</v>
      </c>
      <c r="BA58" s="81" t="s">
        <v>49</v>
      </c>
      <c r="BB58" s="81" t="s">
        <v>50</v>
      </c>
      <c r="BC58" s="81" t="s">
        <v>51</v>
      </c>
      <c r="BD58" s="81" t="s">
        <v>52</v>
      </c>
      <c r="BE58" s="81" t="s">
        <v>53</v>
      </c>
      <c r="BF58" s="81" t="s">
        <v>54</v>
      </c>
      <c r="BG58" s="77" t="s">
        <v>55</v>
      </c>
      <c r="BH58" s="81" t="s">
        <v>56</v>
      </c>
    </row>
    <row r="59" spans="1:60" ht="8.25" customHeight="1">
      <c r="A59" s="78"/>
      <c r="B59" s="74"/>
      <c r="C59" s="78"/>
      <c r="D59" s="78"/>
      <c r="E59" s="78"/>
      <c r="F59" s="79"/>
      <c r="G59" s="18"/>
      <c r="H59" s="79"/>
      <c r="I59" s="78"/>
      <c r="J59" s="75"/>
      <c r="K59" s="78"/>
      <c r="L59" s="337"/>
      <c r="M59" s="368"/>
      <c r="N59" s="368"/>
      <c r="O59" s="78"/>
      <c r="P59" s="78"/>
      <c r="Q59" s="79"/>
      <c r="R59" s="145" t="s">
        <v>146</v>
      </c>
      <c r="S59" s="2">
        <f>MAX(S$5:S55)</f>
        <v>0</v>
      </c>
      <c r="T59" s="2">
        <f>MAX(T$5:T55)</f>
        <v>0</v>
      </c>
      <c r="U59" s="2">
        <f>MAX(U$5:U55)</f>
        <v>0</v>
      </c>
      <c r="V59" s="2">
        <f>MAX(V$5:V55)</f>
        <v>0</v>
      </c>
      <c r="W59" s="2">
        <f>MAX(W$5:W55)</f>
        <v>2</v>
      </c>
      <c r="X59" s="2">
        <f>MAX(X$5:X55)</f>
        <v>5</v>
      </c>
      <c r="Y59" s="2" t="s">
        <v>57</v>
      </c>
      <c r="Z59" s="2" t="s">
        <v>57</v>
      </c>
      <c r="AA59" s="2">
        <f>MAX(AA$5:AA55)</f>
        <v>0</v>
      </c>
      <c r="AB59" s="2">
        <f>MAX(AB$5:AB55)</f>
        <v>0</v>
      </c>
      <c r="AC59" s="2">
        <f>MAX(AC$5:AC55)</f>
        <v>0</v>
      </c>
      <c r="AD59" s="2">
        <f>MAX(AD$5:AD55)</f>
        <v>0</v>
      </c>
      <c r="AE59" s="2">
        <f>MAX(AE$5:AE55)</f>
        <v>0</v>
      </c>
      <c r="AF59" s="2">
        <f>MAX(AF$5:AF55)</f>
        <v>0</v>
      </c>
      <c r="AG59" s="2">
        <f>MAX(AG$5:AG55)</f>
        <v>14</v>
      </c>
      <c r="AH59" s="2">
        <f>MAX(AH$5:AH55)</f>
        <v>5</v>
      </c>
      <c r="AI59" s="2" t="s">
        <v>57</v>
      </c>
      <c r="AJ59" s="2" t="s">
        <v>57</v>
      </c>
      <c r="AK59" s="2">
        <f>MAX(AK$5:AK55)</f>
        <v>0</v>
      </c>
      <c r="AL59" s="29">
        <f>MAX(AL$5:AL55)</f>
        <v>0</v>
      </c>
      <c r="AM59" s="80"/>
      <c r="AN59" s="79"/>
      <c r="AO59" s="79"/>
      <c r="AP59" s="48" t="s">
        <v>46</v>
      </c>
      <c r="AQ59" s="2">
        <f>AW57</f>
        <v>68112</v>
      </c>
      <c r="AR59" s="2">
        <f>AX57</f>
        <v>110</v>
      </c>
      <c r="AS59" s="29">
        <f>AY57</f>
        <v>0</v>
      </c>
      <c r="AT59" s="79"/>
      <c r="AU59" s="79"/>
      <c r="AV59" s="79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</row>
    <row r="60" spans="1:60" ht="8.25" customHeight="1">
      <c r="A60" s="78"/>
      <c r="B60" s="74"/>
      <c r="C60" s="78"/>
      <c r="D60" s="78"/>
      <c r="E60" s="78"/>
      <c r="F60" s="79"/>
      <c r="G60" s="18"/>
      <c r="H60" s="79"/>
      <c r="I60" s="78"/>
      <c r="J60" s="75"/>
      <c r="K60" s="78"/>
      <c r="L60" s="286"/>
      <c r="M60" s="18"/>
      <c r="N60" s="18"/>
      <c r="O60" s="78"/>
      <c r="P60" s="78"/>
      <c r="Q60" s="79"/>
      <c r="R60" s="145" t="s">
        <v>66</v>
      </c>
      <c r="S60" s="2">
        <f>STDEV(S$5:S55)</f>
        <v>0</v>
      </c>
      <c r="T60" s="2">
        <f>STDEV(T$5:T55)</f>
        <v>0</v>
      </c>
      <c r="U60" s="2">
        <f>STDEV(U$5:U55)</f>
        <v>0</v>
      </c>
      <c r="V60" s="2">
        <f>STDEV(V$5:V55)</f>
        <v>0</v>
      </c>
      <c r="W60" s="2">
        <f>STDEV(W$5:W55)</f>
        <v>0.70710678118654757</v>
      </c>
      <c r="X60" s="2">
        <f>STDEV(X$5:X55)</f>
        <v>1.7677669529663689</v>
      </c>
      <c r="Y60" s="2" t="s">
        <v>57</v>
      </c>
      <c r="Z60" s="2" t="s">
        <v>57</v>
      </c>
      <c r="AA60" s="2">
        <f>STDEV(AA$5:AA55)</f>
        <v>0</v>
      </c>
      <c r="AB60" s="2">
        <f>STDEV(AB$5:AB55)</f>
        <v>0</v>
      </c>
      <c r="AC60" s="2">
        <f>STDEV(AC$5:AC55)</f>
        <v>0</v>
      </c>
      <c r="AD60" s="2">
        <f>STDEV(AD$5:AD55)</f>
        <v>0</v>
      </c>
      <c r="AE60" s="2">
        <f>STDEV(AE$5:AE55)</f>
        <v>0</v>
      </c>
      <c r="AF60" s="2">
        <f>STDEV(AF$5:AF55)</f>
        <v>0</v>
      </c>
      <c r="AG60" s="2">
        <f>STDEV(AG$5:AG55)</f>
        <v>4.8989794855663558</v>
      </c>
      <c r="AH60" s="2">
        <f>STDEV(AH$5:AH55)</f>
        <v>2.1001700611413079</v>
      </c>
      <c r="AI60" s="2" t="s">
        <v>57</v>
      </c>
      <c r="AJ60" s="2" t="s">
        <v>57</v>
      </c>
      <c r="AK60" s="2">
        <f>STDEV(AK$5:AK55)</f>
        <v>0</v>
      </c>
      <c r="AL60" s="29">
        <f>STDEV(AL$5:AL55)</f>
        <v>0</v>
      </c>
      <c r="AM60" s="80"/>
      <c r="AN60" s="79"/>
      <c r="AO60" s="79"/>
      <c r="AP60" s="48" t="s">
        <v>49</v>
      </c>
      <c r="AQ60" s="2">
        <f>AZ57</f>
        <v>0</v>
      </c>
      <c r="AR60" s="2">
        <f>BA57</f>
        <v>0</v>
      </c>
      <c r="AS60" s="29">
        <f>BB57</f>
        <v>0</v>
      </c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</row>
    <row r="61" spans="1:60" ht="9" customHeight="1" thickBot="1">
      <c r="A61" s="78"/>
      <c r="B61" s="74"/>
      <c r="C61" s="78"/>
      <c r="D61" s="78"/>
      <c r="E61" s="78"/>
      <c r="F61" s="79"/>
      <c r="G61" s="18"/>
      <c r="H61" s="79"/>
      <c r="I61" s="78"/>
      <c r="J61" s="75"/>
      <c r="K61" s="78"/>
      <c r="L61" s="286"/>
      <c r="M61" s="18"/>
      <c r="N61" s="18"/>
      <c r="O61" s="78"/>
      <c r="P61" s="78"/>
      <c r="Q61" s="79"/>
      <c r="R61" s="146" t="s">
        <v>67</v>
      </c>
      <c r="S61" s="32">
        <f t="shared" ref="S61:X61" si="7">IF(S57+(3*S60)&gt;100,100,S57+(3*S60))</f>
        <v>0</v>
      </c>
      <c r="T61" s="32">
        <f t="shared" si="7"/>
        <v>0</v>
      </c>
      <c r="U61" s="32">
        <f t="shared" si="7"/>
        <v>0</v>
      </c>
      <c r="V61" s="32">
        <f t="shared" si="7"/>
        <v>0</v>
      </c>
      <c r="W61" s="32">
        <f t="shared" si="7"/>
        <v>2.3713203435596428</v>
      </c>
      <c r="X61" s="32">
        <f t="shared" si="7"/>
        <v>5.9283008588991066</v>
      </c>
      <c r="Y61" s="32" t="s">
        <v>57</v>
      </c>
      <c r="Z61" s="32" t="s">
        <v>57</v>
      </c>
      <c r="AA61" s="32">
        <f t="shared" ref="AA61:AH61" si="8">IF(AA57+(3*AA60)&gt;100,100,AA57+(3*AA60))</f>
        <v>0</v>
      </c>
      <c r="AB61" s="32">
        <f t="shared" si="8"/>
        <v>0</v>
      </c>
      <c r="AC61" s="32">
        <f t="shared" si="8"/>
        <v>0</v>
      </c>
      <c r="AD61" s="32">
        <f t="shared" si="8"/>
        <v>0</v>
      </c>
      <c r="AE61" s="32">
        <f t="shared" si="8"/>
        <v>0</v>
      </c>
      <c r="AF61" s="32">
        <f t="shared" si="8"/>
        <v>0</v>
      </c>
      <c r="AG61" s="32">
        <f t="shared" si="8"/>
        <v>16.696938456699066</v>
      </c>
      <c r="AH61" s="32">
        <f t="shared" si="8"/>
        <v>7.4255101834239241</v>
      </c>
      <c r="AI61" s="32" t="s">
        <v>57</v>
      </c>
      <c r="AJ61" s="32" t="s">
        <v>57</v>
      </c>
      <c r="AK61" s="32">
        <f>IF(AK57+(3*AK60)&gt;100,100,AK57+(3*AK60))</f>
        <v>0</v>
      </c>
      <c r="AL61" s="49">
        <f>IF(AL57+(3*AL60)&gt;100,100,AL57+(3*AL60))</f>
        <v>0</v>
      </c>
      <c r="AM61" s="80"/>
      <c r="AN61" s="79"/>
      <c r="AO61" s="79"/>
      <c r="AP61" s="48" t="s">
        <v>52</v>
      </c>
      <c r="AQ61" s="2">
        <f>BC57</f>
        <v>110000</v>
      </c>
      <c r="AR61" s="2">
        <f>BD57</f>
        <v>110</v>
      </c>
      <c r="AS61" s="29">
        <f>BE57</f>
        <v>0</v>
      </c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</row>
    <row r="62" spans="1:60" ht="9" customHeight="1" thickBot="1">
      <c r="A62" s="78"/>
      <c r="B62" s="74"/>
      <c r="C62" s="78"/>
      <c r="D62" s="78"/>
      <c r="E62" s="78"/>
      <c r="F62" s="79"/>
      <c r="G62" s="18"/>
      <c r="H62" s="79"/>
      <c r="I62" s="78"/>
      <c r="J62" s="75"/>
      <c r="K62" s="78"/>
      <c r="L62" s="286"/>
      <c r="M62" s="18"/>
      <c r="N62" s="18"/>
      <c r="O62" s="78"/>
      <c r="P62" s="78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80"/>
      <c r="AI62" s="79"/>
      <c r="AJ62" s="79"/>
      <c r="AK62" s="79"/>
      <c r="AL62" s="79"/>
      <c r="AM62" s="79"/>
      <c r="AN62" s="79"/>
      <c r="AO62" s="79"/>
      <c r="AP62" s="50" t="s">
        <v>58</v>
      </c>
      <c r="AQ62" s="32">
        <f>BF57</f>
        <v>10560</v>
      </c>
      <c r="AR62" s="32">
        <f>BG57</f>
        <v>110</v>
      </c>
      <c r="AS62" s="49">
        <f>BH57</f>
        <v>0</v>
      </c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18" t="str">
        <f>IF(AND($AP62="HAST",NOT(ISBLANK($AT62))),$AU62*$AR62,"")</f>
        <v/>
      </c>
      <c r="BG62" s="18" t="str">
        <f>IF(AND($AP62="HAST",NOT(ISBLANK($AT62))),$AU62,"")</f>
        <v/>
      </c>
      <c r="BH62" s="18" t="str">
        <f>IF(AND($AP62="HAST",NOT(ISBLANK($AT62))),$AT62,"")</f>
        <v/>
      </c>
    </row>
    <row r="63" spans="1:60" ht="8.25" customHeight="1">
      <c r="R63" s="18" t="s">
        <v>69</v>
      </c>
      <c r="S63" s="73"/>
      <c r="T63" s="73"/>
    </row>
    <row r="64" spans="1:60" ht="8.25" customHeight="1">
      <c r="R64" s="18"/>
      <c r="S64" s="82" t="s">
        <v>70</v>
      </c>
      <c r="T64" s="73"/>
    </row>
    <row r="65" spans="18:19" ht="8.25" customHeight="1">
      <c r="R65" s="18"/>
      <c r="S65" s="82" t="s">
        <v>71</v>
      </c>
    </row>
    <row r="66" spans="18:19" ht="8.25" customHeight="1">
      <c r="R66" s="18"/>
      <c r="S66" s="82" t="s">
        <v>72</v>
      </c>
    </row>
    <row r="67" spans="18:19" ht="8.25" customHeight="1">
      <c r="R67" s="18"/>
      <c r="S67" s="82" t="s">
        <v>73</v>
      </c>
    </row>
    <row r="68" spans="18:19" ht="8.25" customHeight="1">
      <c r="R68" s="18"/>
      <c r="S68" s="82" t="s">
        <v>74</v>
      </c>
    </row>
  </sheetData>
  <mergeCells count="38">
    <mergeCell ref="AP3:AP4"/>
    <mergeCell ref="AU3:AU4"/>
    <mergeCell ref="L56:N56"/>
    <mergeCell ref="L57:N57"/>
    <mergeCell ref="L58:N58"/>
    <mergeCell ref="AN3:AN4"/>
    <mergeCell ref="AO3:AO4"/>
    <mergeCell ref="L59:N59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</mergeCells>
  <conditionalFormatting sqref="AT5:AT8 AT12:AT19 AT24:AT26 AT28:AT30 AT32:AT54">
    <cfRule type="cellIs" dxfId="11" priority="5" stopIfTrue="1" operator="equal">
      <formula>"ONGOING"</formula>
    </cfRule>
  </conditionalFormatting>
  <conditionalFormatting sqref="AT9:AT11">
    <cfRule type="cellIs" dxfId="4" priority="4" stopIfTrue="1" operator="equal">
      <formula>"ONGOING"</formula>
    </cfRule>
  </conditionalFormatting>
  <conditionalFormatting sqref="AT20:AT23">
    <cfRule type="cellIs" dxfId="3" priority="3" stopIfTrue="1" operator="equal">
      <formula>"ONGOING"</formula>
    </cfRule>
  </conditionalFormatting>
  <conditionalFormatting sqref="AT27">
    <cfRule type="cellIs" dxfId="2" priority="2" stopIfTrue="1" operator="equal">
      <formula>"ONGOING"</formula>
    </cfRule>
  </conditionalFormatting>
  <conditionalFormatting sqref="AT31">
    <cfRule type="cellIs" dxfId="1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243C-FCB5-4F71-A748-53E4DDDE6747}">
  <dimension ref="A1:BH68"/>
  <sheetViews>
    <sheetView showGridLines="0" zoomScale="130" zoomScaleNormal="130" workbookViewId="0">
      <pane xSplit="5" ySplit="4" topLeftCell="Q5" activePane="bottomRight" state="frozen"/>
      <selection activeCell="L8" sqref="L8:N10"/>
      <selection pane="topRight" activeCell="L8" sqref="L8:N10"/>
      <selection pane="bottomLeft" activeCell="L8" sqref="L8:N10"/>
      <selection pane="bottomRight" activeCell="Z16" sqref="Z16"/>
    </sheetView>
  </sheetViews>
  <sheetFormatPr defaultColWidth="14.453125" defaultRowHeight="15" customHeight="1"/>
  <cols>
    <col min="1" max="1" width="8.453125" style="30" bestFit="1" customWidth="1"/>
    <col min="2" max="2" width="3.26953125" style="30" customWidth="1"/>
    <col min="3" max="3" width="7.453125" style="30" bestFit="1" customWidth="1"/>
    <col min="4" max="5" width="4" style="30" customWidth="1"/>
    <col min="6" max="6" width="8.453125" style="30" bestFit="1" customWidth="1"/>
    <col min="7" max="7" width="1.54296875" style="30" customWidth="1"/>
    <col min="8" max="8" width="7.1796875" style="30" bestFit="1" customWidth="1"/>
    <col min="9" max="9" width="6.54296875" style="30" customWidth="1"/>
    <col min="10" max="10" width="5.7265625" style="30" customWidth="1"/>
    <col min="11" max="11" width="11.54296875" style="30" bestFit="1" customWidth="1"/>
    <col min="12" max="12" width="4.453125" style="295" customWidth="1"/>
    <col min="13" max="13" width="7.7265625" style="246" bestFit="1" customWidth="1"/>
    <col min="14" max="14" width="8.7265625" style="246" customWidth="1"/>
    <col min="15" max="15" width="12.54296875" style="30" customWidth="1"/>
    <col min="16" max="16" width="10.7265625" style="30" bestFit="1" customWidth="1"/>
    <col min="17" max="17" width="11" style="30" customWidth="1"/>
    <col min="18" max="18" width="8.54296875" style="30" customWidth="1"/>
    <col min="19" max="40" width="2.7265625" style="30" customWidth="1"/>
    <col min="41" max="41" width="5.54296875" style="30" customWidth="1"/>
    <col min="42" max="42" width="5" style="30" customWidth="1"/>
    <col min="43" max="43" width="7.54296875" style="30" customWidth="1"/>
    <col min="44" max="45" width="4.54296875" style="30" customWidth="1"/>
    <col min="46" max="46" width="2.7265625" style="30" customWidth="1"/>
    <col min="47" max="47" width="3" style="30" customWidth="1"/>
    <col min="48" max="48" width="1.26953125" style="30" customWidth="1"/>
    <col min="49" max="49" width="6.54296875" style="30" customWidth="1"/>
    <col min="50" max="50" width="3.7265625" style="30" customWidth="1"/>
    <col min="51" max="51" width="5.54296875" style="30" customWidth="1"/>
    <col min="52" max="54" width="2.81640625" style="30" hidden="1" customWidth="1"/>
    <col min="55" max="55" width="6.54296875" style="30" customWidth="1"/>
    <col min="56" max="56" width="4.26953125" style="30" customWidth="1"/>
    <col min="57" max="57" width="5.7265625" style="30" customWidth="1"/>
    <col min="58" max="58" width="6.7265625" style="30" customWidth="1"/>
    <col min="59" max="59" width="4.26953125" style="30" customWidth="1"/>
    <col min="60" max="60" width="6" style="30" customWidth="1"/>
    <col min="61" max="70" width="9.1796875" style="30" customWidth="1"/>
    <col min="71" max="16384" width="14.453125" style="30"/>
  </cols>
  <sheetData>
    <row r="1" spans="1:60" ht="10.5" customHeight="1">
      <c r="A1" s="322" t="s">
        <v>0</v>
      </c>
      <c r="B1" s="360"/>
      <c r="C1" s="361"/>
      <c r="D1" s="324" t="s">
        <v>1</v>
      </c>
      <c r="E1" s="361"/>
      <c r="F1" s="325" t="s">
        <v>2</v>
      </c>
      <c r="G1" s="385"/>
      <c r="H1" s="385"/>
      <c r="I1" s="385"/>
      <c r="J1" s="385"/>
      <c r="K1" s="385"/>
      <c r="L1" s="385"/>
      <c r="M1" s="385"/>
      <c r="N1" s="385"/>
      <c r="O1" s="385"/>
      <c r="P1" s="386"/>
      <c r="Q1" s="328" t="s">
        <v>3</v>
      </c>
      <c r="R1" s="331" t="s">
        <v>4</v>
      </c>
      <c r="S1" s="334" t="s">
        <v>5</v>
      </c>
      <c r="T1" s="360"/>
      <c r="U1" s="360"/>
      <c r="V1" s="360"/>
      <c r="W1" s="360"/>
      <c r="X1" s="360"/>
      <c r="Y1" s="360"/>
      <c r="Z1" s="360"/>
      <c r="AA1" s="360"/>
      <c r="AB1" s="380"/>
      <c r="AC1" s="296" t="s">
        <v>6</v>
      </c>
      <c r="AD1" s="360"/>
      <c r="AE1" s="360"/>
      <c r="AF1" s="360"/>
      <c r="AG1" s="360"/>
      <c r="AH1" s="360"/>
      <c r="AI1" s="360"/>
      <c r="AJ1" s="360"/>
      <c r="AK1" s="360"/>
      <c r="AL1" s="361"/>
      <c r="AM1" s="302" t="s">
        <v>7</v>
      </c>
      <c r="AN1" s="360"/>
      <c r="AO1" s="365"/>
      <c r="AP1" s="306" t="s">
        <v>8</v>
      </c>
      <c r="AQ1" s="360"/>
      <c r="AR1" s="360"/>
      <c r="AS1" s="360"/>
      <c r="AT1" s="360"/>
      <c r="AU1" s="3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</row>
    <row r="2" spans="1:60" ht="10.5" customHeight="1">
      <c r="A2" s="395"/>
      <c r="B2" s="363"/>
      <c r="C2" s="364"/>
      <c r="D2" s="366"/>
      <c r="E2" s="364"/>
      <c r="F2" s="366"/>
      <c r="G2" s="363"/>
      <c r="H2" s="363"/>
      <c r="I2" s="363"/>
      <c r="J2" s="363"/>
      <c r="K2" s="363"/>
      <c r="L2" s="363"/>
      <c r="M2" s="363"/>
      <c r="N2" s="363"/>
      <c r="O2" s="363"/>
      <c r="P2" s="367"/>
      <c r="Q2" s="377"/>
      <c r="R2" s="368"/>
      <c r="S2" s="366"/>
      <c r="T2" s="363"/>
      <c r="U2" s="363"/>
      <c r="V2" s="363"/>
      <c r="W2" s="363"/>
      <c r="X2" s="363"/>
      <c r="Y2" s="363"/>
      <c r="Z2" s="363"/>
      <c r="AA2" s="363"/>
      <c r="AB2" s="381"/>
      <c r="AC2" s="362"/>
      <c r="AD2" s="363"/>
      <c r="AE2" s="363"/>
      <c r="AF2" s="363"/>
      <c r="AG2" s="363"/>
      <c r="AH2" s="363"/>
      <c r="AI2" s="363"/>
      <c r="AJ2" s="363"/>
      <c r="AK2" s="363"/>
      <c r="AL2" s="364"/>
      <c r="AM2" s="366"/>
      <c r="AN2" s="363"/>
      <c r="AO2" s="367"/>
      <c r="AP2" s="363"/>
      <c r="AQ2" s="363"/>
      <c r="AR2" s="363"/>
      <c r="AS2" s="363"/>
      <c r="AT2" s="363"/>
      <c r="AU2" s="372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</row>
    <row r="3" spans="1:60" ht="10.5" customHeight="1">
      <c r="A3" s="309" t="s">
        <v>9</v>
      </c>
      <c r="B3" s="311" t="s">
        <v>10</v>
      </c>
      <c r="C3" s="313" t="s">
        <v>131</v>
      </c>
      <c r="D3" s="315" t="s">
        <v>11</v>
      </c>
      <c r="E3" s="317" t="s">
        <v>12</v>
      </c>
      <c r="F3" s="318" t="s">
        <v>13</v>
      </c>
      <c r="G3" s="384"/>
      <c r="H3" s="374"/>
      <c r="I3" s="321" t="s">
        <v>77</v>
      </c>
      <c r="J3" s="384"/>
      <c r="K3" s="374"/>
      <c r="L3" s="284" t="s">
        <v>18</v>
      </c>
      <c r="M3" s="342" t="s">
        <v>19</v>
      </c>
      <c r="N3" s="342" t="s">
        <v>20</v>
      </c>
      <c r="O3" s="342" t="s">
        <v>78</v>
      </c>
      <c r="P3" s="343" t="s">
        <v>79</v>
      </c>
      <c r="Q3" s="377"/>
      <c r="R3" s="368"/>
      <c r="S3" s="339" t="s">
        <v>24</v>
      </c>
      <c r="T3" s="374"/>
      <c r="U3" s="338" t="s">
        <v>25</v>
      </c>
      <c r="V3" s="374"/>
      <c r="W3" s="338" t="s">
        <v>26</v>
      </c>
      <c r="X3" s="374"/>
      <c r="Y3" s="338" t="s">
        <v>27</v>
      </c>
      <c r="Z3" s="374"/>
      <c r="AA3" s="338" t="s">
        <v>28</v>
      </c>
      <c r="AB3" s="376"/>
      <c r="AC3" s="341" t="s">
        <v>24</v>
      </c>
      <c r="AD3" s="374"/>
      <c r="AE3" s="338" t="s">
        <v>25</v>
      </c>
      <c r="AF3" s="374"/>
      <c r="AG3" s="338" t="s">
        <v>26</v>
      </c>
      <c r="AH3" s="374"/>
      <c r="AI3" s="338" t="s">
        <v>27</v>
      </c>
      <c r="AJ3" s="374"/>
      <c r="AK3" s="338" t="s">
        <v>28</v>
      </c>
      <c r="AL3" s="374"/>
      <c r="AM3" s="19" t="s">
        <v>29</v>
      </c>
      <c r="AN3" s="349" t="s">
        <v>30</v>
      </c>
      <c r="AO3" s="350" t="s">
        <v>31</v>
      </c>
      <c r="AP3" s="345" t="s">
        <v>32</v>
      </c>
      <c r="AQ3" s="20" t="s">
        <v>33</v>
      </c>
      <c r="AR3" s="20" t="s">
        <v>34</v>
      </c>
      <c r="AS3" s="20" t="s">
        <v>35</v>
      </c>
      <c r="AT3" s="20" t="s">
        <v>29</v>
      </c>
      <c r="AU3" s="347" t="s">
        <v>30</v>
      </c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10.5" customHeight="1">
      <c r="A4" s="387"/>
      <c r="B4" s="375"/>
      <c r="C4" s="388"/>
      <c r="D4" s="393"/>
      <c r="E4" s="383"/>
      <c r="F4" s="52" t="s">
        <v>36</v>
      </c>
      <c r="G4" s="53" t="s">
        <v>37</v>
      </c>
      <c r="H4" s="54" t="s">
        <v>36</v>
      </c>
      <c r="I4" s="22" t="s">
        <v>80</v>
      </c>
      <c r="J4" s="22" t="s">
        <v>81</v>
      </c>
      <c r="K4" s="22" t="s">
        <v>17</v>
      </c>
      <c r="L4" s="285" t="s">
        <v>39</v>
      </c>
      <c r="M4" s="456"/>
      <c r="N4" s="456"/>
      <c r="O4" s="375"/>
      <c r="P4" s="382"/>
      <c r="Q4" s="378"/>
      <c r="R4" s="379"/>
      <c r="S4" s="24" t="s">
        <v>29</v>
      </c>
      <c r="T4" s="25" t="s">
        <v>40</v>
      </c>
      <c r="U4" s="21" t="s">
        <v>29</v>
      </c>
      <c r="V4" s="25" t="s">
        <v>40</v>
      </c>
      <c r="W4" s="21" t="s">
        <v>29</v>
      </c>
      <c r="X4" s="25" t="s">
        <v>40</v>
      </c>
      <c r="Y4" s="21" t="s">
        <v>29</v>
      </c>
      <c r="Z4" s="25" t="s">
        <v>40</v>
      </c>
      <c r="AA4" s="21" t="s">
        <v>29</v>
      </c>
      <c r="AB4" s="58" t="s">
        <v>40</v>
      </c>
      <c r="AC4" s="61" t="s">
        <v>29</v>
      </c>
      <c r="AD4" s="25" t="s">
        <v>40</v>
      </c>
      <c r="AE4" s="21" t="s">
        <v>29</v>
      </c>
      <c r="AF4" s="25" t="s">
        <v>40</v>
      </c>
      <c r="AG4" s="21" t="s">
        <v>29</v>
      </c>
      <c r="AH4" s="25" t="s">
        <v>40</v>
      </c>
      <c r="AI4" s="21" t="s">
        <v>29</v>
      </c>
      <c r="AJ4" s="25" t="s">
        <v>40</v>
      </c>
      <c r="AK4" s="21" t="s">
        <v>29</v>
      </c>
      <c r="AL4" s="26" t="s">
        <v>40</v>
      </c>
      <c r="AM4" s="27" t="s">
        <v>41</v>
      </c>
      <c r="AN4" s="375"/>
      <c r="AO4" s="369"/>
      <c r="AP4" s="370"/>
      <c r="AQ4" s="28" t="s">
        <v>42</v>
      </c>
      <c r="AR4" s="28" t="s">
        <v>43</v>
      </c>
      <c r="AS4" s="28" t="s">
        <v>44</v>
      </c>
      <c r="AT4" s="28" t="s">
        <v>41</v>
      </c>
      <c r="AU4" s="373"/>
      <c r="AV4" s="71"/>
      <c r="AW4" s="73" t="s">
        <v>45</v>
      </c>
      <c r="AX4" s="73" t="s">
        <v>46</v>
      </c>
      <c r="AY4" s="73" t="s">
        <v>47</v>
      </c>
      <c r="AZ4" s="73" t="s">
        <v>48</v>
      </c>
      <c r="BA4" s="73" t="s">
        <v>49</v>
      </c>
      <c r="BB4" s="73" t="s">
        <v>50</v>
      </c>
      <c r="BC4" s="73" t="s">
        <v>51</v>
      </c>
      <c r="BD4" s="73" t="s">
        <v>52</v>
      </c>
      <c r="BE4" s="73" t="s">
        <v>53</v>
      </c>
      <c r="BF4" s="73" t="s">
        <v>54</v>
      </c>
      <c r="BG4" s="73" t="s">
        <v>55</v>
      </c>
      <c r="BH4" s="73" t="s">
        <v>56</v>
      </c>
    </row>
    <row r="5" spans="1:60" ht="8.25" customHeight="1">
      <c r="A5" s="1" t="s">
        <v>198</v>
      </c>
      <c r="B5" s="2">
        <v>18</v>
      </c>
      <c r="C5" s="3" t="s">
        <v>199</v>
      </c>
      <c r="D5" s="138">
        <v>2517</v>
      </c>
      <c r="E5" s="4" t="s">
        <v>85</v>
      </c>
      <c r="F5" s="288" t="s">
        <v>169</v>
      </c>
      <c r="G5" s="6" t="s">
        <v>147</v>
      </c>
      <c r="H5" s="289" t="s">
        <v>170</v>
      </c>
      <c r="I5" s="7" t="s">
        <v>138</v>
      </c>
      <c r="J5" s="6" t="s">
        <v>65</v>
      </c>
      <c r="K5" s="7" t="s">
        <v>152</v>
      </c>
      <c r="L5" s="126">
        <v>1</v>
      </c>
      <c r="M5" s="12" t="s">
        <v>144</v>
      </c>
      <c r="N5" s="12" t="s">
        <v>65</v>
      </c>
      <c r="O5" s="2" t="s">
        <v>139</v>
      </c>
      <c r="P5" s="56" t="s">
        <v>65</v>
      </c>
      <c r="Q5" s="9" t="s">
        <v>91</v>
      </c>
      <c r="R5" s="10" t="s">
        <v>92</v>
      </c>
      <c r="S5" s="11" t="s">
        <v>57</v>
      </c>
      <c r="T5" s="12" t="s">
        <v>57</v>
      </c>
      <c r="U5" s="12" t="s">
        <v>57</v>
      </c>
      <c r="V5" s="12" t="s">
        <v>57</v>
      </c>
      <c r="W5" s="12" t="s">
        <v>57</v>
      </c>
      <c r="X5" s="2" t="s">
        <v>57</v>
      </c>
      <c r="Y5" s="2" t="s">
        <v>57</v>
      </c>
      <c r="Z5" s="2" t="s">
        <v>57</v>
      </c>
      <c r="AA5" s="2" t="s">
        <v>57</v>
      </c>
      <c r="AB5" s="59" t="s">
        <v>57</v>
      </c>
      <c r="AC5" s="62" t="s">
        <v>57</v>
      </c>
      <c r="AD5" s="2" t="s">
        <v>57</v>
      </c>
      <c r="AE5" s="2" t="s">
        <v>57</v>
      </c>
      <c r="AF5" s="2" t="s">
        <v>57</v>
      </c>
      <c r="AG5" s="2" t="s">
        <v>57</v>
      </c>
      <c r="AH5" s="2" t="s">
        <v>57</v>
      </c>
      <c r="AI5" s="12" t="s">
        <v>57</v>
      </c>
      <c r="AJ5" s="12" t="s">
        <v>57</v>
      </c>
      <c r="AK5" s="12" t="s">
        <v>57</v>
      </c>
      <c r="AL5" s="13" t="s">
        <v>57</v>
      </c>
      <c r="AM5" s="11">
        <v>0</v>
      </c>
      <c r="AN5" s="12">
        <v>22</v>
      </c>
      <c r="AO5" s="4" t="s">
        <v>93</v>
      </c>
      <c r="AP5" s="14" t="s">
        <v>52</v>
      </c>
      <c r="AQ5" s="2" t="s">
        <v>99</v>
      </c>
      <c r="AR5" s="16">
        <v>1000</v>
      </c>
      <c r="AS5" s="16" t="s">
        <v>100</v>
      </c>
      <c r="AT5" s="16">
        <v>0</v>
      </c>
      <c r="AU5" s="51">
        <v>22</v>
      </c>
      <c r="AV5" s="18"/>
      <c r="AW5" s="18" t="str">
        <f t="shared" ref="AW5:AW55" si="0">IF(AND($AP5="TC",NOT(ISBLANK($AT5))),$AU5*$AR5,"")</f>
        <v/>
      </c>
      <c r="AX5" s="18" t="str">
        <f t="shared" ref="AX5:AX55" si="1">IF(AND($AP5="TC",NOT(ISBLANK($AT5))),$AU5,"")</f>
        <v/>
      </c>
      <c r="AY5" s="18"/>
      <c r="AZ5" s="18"/>
      <c r="BA5" s="18"/>
      <c r="BB5" s="18"/>
      <c r="BC5" s="18">
        <f t="shared" ref="BC5:BC55" si="2">IF(AND($AP5="HTS",NOT(ISBLANK($AT5))),$AU5*$AR5,"")</f>
        <v>22000</v>
      </c>
      <c r="BD5" s="18">
        <f t="shared" ref="BD5:BD55" si="3">IF(AND($AP5="HTS",NOT(ISBLANK($AT5))),$AU5,"")</f>
        <v>22</v>
      </c>
      <c r="BE5" s="18"/>
      <c r="BF5" s="18" t="str">
        <f t="shared" ref="BF5:BF55" si="4">IF(AND($AP5="HAST",NOT(ISBLANK($AT5))),$AU5*$AR5,"")</f>
        <v/>
      </c>
      <c r="BG5" s="18" t="str">
        <f t="shared" ref="BG5:BG55" si="5">IF(AND($AP5="HAST",NOT(ISBLANK($AT5))),$AU5,"")</f>
        <v/>
      </c>
      <c r="BH5" s="18"/>
    </row>
    <row r="6" spans="1:60" ht="8.25" customHeight="1">
      <c r="A6" s="1" t="s">
        <v>198</v>
      </c>
      <c r="B6" s="2">
        <v>18</v>
      </c>
      <c r="C6" s="3" t="s">
        <v>199</v>
      </c>
      <c r="D6" s="138">
        <v>2521</v>
      </c>
      <c r="E6" s="4" t="s">
        <v>85</v>
      </c>
      <c r="F6" s="288" t="s">
        <v>169</v>
      </c>
      <c r="G6" s="6" t="s">
        <v>147</v>
      </c>
      <c r="H6" s="289" t="s">
        <v>170</v>
      </c>
      <c r="I6" s="7" t="s">
        <v>138</v>
      </c>
      <c r="J6" s="6" t="s">
        <v>65</v>
      </c>
      <c r="K6" s="7" t="s">
        <v>152</v>
      </c>
      <c r="L6" s="126">
        <v>1</v>
      </c>
      <c r="M6" s="12" t="s">
        <v>144</v>
      </c>
      <c r="N6" s="12" t="s">
        <v>65</v>
      </c>
      <c r="O6" s="2" t="s">
        <v>139</v>
      </c>
      <c r="P6" s="56" t="s">
        <v>65</v>
      </c>
      <c r="Q6" s="9" t="s">
        <v>91</v>
      </c>
      <c r="R6" s="10" t="s">
        <v>92</v>
      </c>
      <c r="S6" s="11" t="s">
        <v>57</v>
      </c>
      <c r="T6" s="12" t="s">
        <v>57</v>
      </c>
      <c r="U6" s="12" t="s">
        <v>57</v>
      </c>
      <c r="V6" s="12" t="s">
        <v>57</v>
      </c>
      <c r="W6" s="12" t="s">
        <v>57</v>
      </c>
      <c r="X6" s="2" t="s">
        <v>57</v>
      </c>
      <c r="Y6" s="2" t="s">
        <v>57</v>
      </c>
      <c r="Z6" s="2" t="s">
        <v>57</v>
      </c>
      <c r="AA6" s="2" t="s">
        <v>57</v>
      </c>
      <c r="AB6" s="59" t="s">
        <v>57</v>
      </c>
      <c r="AC6" s="62" t="s">
        <v>57</v>
      </c>
      <c r="AD6" s="2" t="s">
        <v>57</v>
      </c>
      <c r="AE6" s="2" t="s">
        <v>57</v>
      </c>
      <c r="AF6" s="2" t="s">
        <v>57</v>
      </c>
      <c r="AG6" s="2" t="s">
        <v>57</v>
      </c>
      <c r="AH6" s="2" t="s">
        <v>57</v>
      </c>
      <c r="AI6" s="12" t="s">
        <v>57</v>
      </c>
      <c r="AJ6" s="12" t="s">
        <v>57</v>
      </c>
      <c r="AK6" s="12" t="s">
        <v>57</v>
      </c>
      <c r="AL6" s="13" t="s">
        <v>57</v>
      </c>
      <c r="AM6" s="11">
        <v>0</v>
      </c>
      <c r="AN6" s="12">
        <v>22</v>
      </c>
      <c r="AO6" s="4" t="s">
        <v>93</v>
      </c>
      <c r="AP6" s="14" t="s">
        <v>94</v>
      </c>
      <c r="AQ6" s="2" t="s">
        <v>145</v>
      </c>
      <c r="AR6" s="16">
        <v>1000</v>
      </c>
      <c r="AS6" s="16" t="s">
        <v>96</v>
      </c>
      <c r="AT6" s="16">
        <v>0</v>
      </c>
      <c r="AU6" s="51">
        <v>22</v>
      </c>
      <c r="AV6" s="18"/>
      <c r="AW6" s="18">
        <f t="shared" si="0"/>
        <v>22000</v>
      </c>
      <c r="AX6" s="18">
        <f t="shared" si="1"/>
        <v>22</v>
      </c>
      <c r="AY6" s="18"/>
      <c r="AZ6" s="18"/>
      <c r="BA6" s="18"/>
      <c r="BB6" s="18"/>
      <c r="BC6" s="18" t="str">
        <f t="shared" si="2"/>
        <v/>
      </c>
      <c r="BD6" s="18" t="str">
        <f t="shared" si="3"/>
        <v/>
      </c>
      <c r="BE6" s="18"/>
      <c r="BF6" s="18" t="str">
        <f t="shared" si="4"/>
        <v/>
      </c>
      <c r="BG6" s="18" t="str">
        <f t="shared" si="5"/>
        <v/>
      </c>
      <c r="BH6" s="18"/>
    </row>
    <row r="7" spans="1:60" ht="8.25" customHeight="1">
      <c r="A7" s="1" t="s">
        <v>198</v>
      </c>
      <c r="B7" s="2">
        <v>18</v>
      </c>
      <c r="C7" s="3" t="s">
        <v>199</v>
      </c>
      <c r="D7" s="138">
        <v>2530</v>
      </c>
      <c r="E7" s="4" t="s">
        <v>85</v>
      </c>
      <c r="F7" s="288" t="s">
        <v>169</v>
      </c>
      <c r="G7" s="6" t="s">
        <v>147</v>
      </c>
      <c r="H7" s="289" t="s">
        <v>170</v>
      </c>
      <c r="I7" s="7" t="s">
        <v>138</v>
      </c>
      <c r="J7" s="6" t="s">
        <v>65</v>
      </c>
      <c r="K7" s="7" t="s">
        <v>152</v>
      </c>
      <c r="L7" s="126">
        <v>1</v>
      </c>
      <c r="M7" s="12" t="s">
        <v>144</v>
      </c>
      <c r="N7" s="12" t="s">
        <v>65</v>
      </c>
      <c r="O7" s="2" t="s">
        <v>139</v>
      </c>
      <c r="P7" s="56" t="s">
        <v>65</v>
      </c>
      <c r="Q7" s="9" t="s">
        <v>91</v>
      </c>
      <c r="R7" s="10" t="s">
        <v>92</v>
      </c>
      <c r="S7" s="119" t="s">
        <v>57</v>
      </c>
      <c r="T7" s="116" t="s">
        <v>57</v>
      </c>
      <c r="U7" s="116" t="s">
        <v>57</v>
      </c>
      <c r="V7" s="116" t="s">
        <v>57</v>
      </c>
      <c r="W7" s="116" t="s">
        <v>57</v>
      </c>
      <c r="X7" s="117" t="s">
        <v>57</v>
      </c>
      <c r="Y7" s="117" t="s">
        <v>57</v>
      </c>
      <c r="Z7" s="117" t="s">
        <v>57</v>
      </c>
      <c r="AA7" s="117" t="s">
        <v>57</v>
      </c>
      <c r="AB7" s="199" t="s">
        <v>57</v>
      </c>
      <c r="AC7" s="200" t="s">
        <v>57</v>
      </c>
      <c r="AD7" s="117" t="s">
        <v>57</v>
      </c>
      <c r="AE7" s="117" t="s">
        <v>57</v>
      </c>
      <c r="AF7" s="117" t="s">
        <v>57</v>
      </c>
      <c r="AG7" s="117" t="s">
        <v>57</v>
      </c>
      <c r="AH7" s="117" t="s">
        <v>57</v>
      </c>
      <c r="AI7" s="116" t="s">
        <v>57</v>
      </c>
      <c r="AJ7" s="116" t="s">
        <v>57</v>
      </c>
      <c r="AK7" s="116" t="s">
        <v>57</v>
      </c>
      <c r="AL7" s="118" t="s">
        <v>57</v>
      </c>
      <c r="AM7" s="119">
        <v>0</v>
      </c>
      <c r="AN7" s="116">
        <v>22</v>
      </c>
      <c r="AO7" s="114" t="s">
        <v>93</v>
      </c>
      <c r="AP7" s="120" t="s">
        <v>52</v>
      </c>
      <c r="AQ7" s="117" t="s">
        <v>99</v>
      </c>
      <c r="AR7" s="202">
        <v>1000</v>
      </c>
      <c r="AS7" s="202" t="s">
        <v>96</v>
      </c>
      <c r="AT7" s="202">
        <v>0</v>
      </c>
      <c r="AU7" s="204">
        <v>22</v>
      </c>
      <c r="AV7" s="18"/>
      <c r="AW7" s="18" t="str">
        <f t="shared" si="0"/>
        <v/>
      </c>
      <c r="AX7" s="18" t="str">
        <f t="shared" si="1"/>
        <v/>
      </c>
      <c r="AY7" s="18"/>
      <c r="AZ7" s="18"/>
      <c r="BA7" s="18"/>
      <c r="BB7" s="18"/>
      <c r="BC7" s="18">
        <f t="shared" si="2"/>
        <v>22000</v>
      </c>
      <c r="BD7" s="18">
        <f t="shared" si="3"/>
        <v>22</v>
      </c>
      <c r="BE7" s="18"/>
      <c r="BF7" s="18" t="str">
        <f t="shared" si="4"/>
        <v/>
      </c>
      <c r="BG7" s="18" t="str">
        <f t="shared" si="5"/>
        <v/>
      </c>
      <c r="BH7" s="18"/>
    </row>
    <row r="8" spans="1:60" ht="8.25" customHeight="1">
      <c r="A8" s="1" t="s">
        <v>198</v>
      </c>
      <c r="B8" s="2">
        <v>18</v>
      </c>
      <c r="C8" s="3" t="s">
        <v>199</v>
      </c>
      <c r="D8" s="138">
        <v>2539</v>
      </c>
      <c r="E8" s="4" t="s">
        <v>85</v>
      </c>
      <c r="F8" s="288" t="s">
        <v>169</v>
      </c>
      <c r="G8" s="6" t="s">
        <v>147</v>
      </c>
      <c r="H8" s="289" t="s">
        <v>170</v>
      </c>
      <c r="I8" s="7" t="s">
        <v>138</v>
      </c>
      <c r="J8" s="6" t="s">
        <v>65</v>
      </c>
      <c r="K8" s="7" t="s">
        <v>152</v>
      </c>
      <c r="L8" s="126">
        <v>1</v>
      </c>
      <c r="M8" s="12" t="s">
        <v>144</v>
      </c>
      <c r="N8" s="12" t="s">
        <v>65</v>
      </c>
      <c r="O8" s="2" t="s">
        <v>139</v>
      </c>
      <c r="P8" s="56" t="s">
        <v>65</v>
      </c>
      <c r="Q8" s="9" t="s">
        <v>91</v>
      </c>
      <c r="R8" s="10" t="s">
        <v>92</v>
      </c>
      <c r="S8" s="119" t="s">
        <v>57</v>
      </c>
      <c r="T8" s="116" t="s">
        <v>57</v>
      </c>
      <c r="U8" s="116" t="s">
        <v>57</v>
      </c>
      <c r="V8" s="116" t="s">
        <v>57</v>
      </c>
      <c r="W8" s="116" t="s">
        <v>57</v>
      </c>
      <c r="X8" s="117" t="s">
        <v>57</v>
      </c>
      <c r="Y8" s="117" t="s">
        <v>57</v>
      </c>
      <c r="Z8" s="117" t="s">
        <v>57</v>
      </c>
      <c r="AA8" s="117" t="s">
        <v>57</v>
      </c>
      <c r="AB8" s="199" t="s">
        <v>57</v>
      </c>
      <c r="AC8" s="200" t="s">
        <v>57</v>
      </c>
      <c r="AD8" s="117" t="s">
        <v>57</v>
      </c>
      <c r="AE8" s="117" t="s">
        <v>57</v>
      </c>
      <c r="AF8" s="117" t="s">
        <v>57</v>
      </c>
      <c r="AG8" s="117" t="s">
        <v>57</v>
      </c>
      <c r="AH8" s="117" t="s">
        <v>57</v>
      </c>
      <c r="AI8" s="116" t="s">
        <v>57</v>
      </c>
      <c r="AJ8" s="116" t="s">
        <v>57</v>
      </c>
      <c r="AK8" s="116" t="s">
        <v>57</v>
      </c>
      <c r="AL8" s="118" t="s">
        <v>57</v>
      </c>
      <c r="AM8" s="119">
        <v>0</v>
      </c>
      <c r="AN8" s="116">
        <v>22</v>
      </c>
      <c r="AO8" s="114" t="s">
        <v>93</v>
      </c>
      <c r="AP8" s="120" t="s">
        <v>58</v>
      </c>
      <c r="AQ8" s="117" t="s">
        <v>121</v>
      </c>
      <c r="AR8" s="201">
        <v>96</v>
      </c>
      <c r="AS8" s="202" t="s">
        <v>100</v>
      </c>
      <c r="AT8" s="201">
        <v>0</v>
      </c>
      <c r="AU8" s="203">
        <v>22</v>
      </c>
      <c r="AV8" s="18"/>
      <c r="AW8" s="18" t="str">
        <f t="shared" si="0"/>
        <v/>
      </c>
      <c r="AX8" s="18" t="str">
        <f t="shared" si="1"/>
        <v/>
      </c>
      <c r="AY8" s="18"/>
      <c r="AZ8" s="18"/>
      <c r="BA8" s="18"/>
      <c r="BB8" s="18"/>
      <c r="BC8" s="18" t="str">
        <f t="shared" si="2"/>
        <v/>
      </c>
      <c r="BD8" s="18" t="str">
        <f t="shared" si="3"/>
        <v/>
      </c>
      <c r="BE8" s="18"/>
      <c r="BF8" s="18">
        <f t="shared" si="4"/>
        <v>2112</v>
      </c>
      <c r="BG8" s="18">
        <f t="shared" si="5"/>
        <v>22</v>
      </c>
      <c r="BH8" s="18"/>
    </row>
    <row r="9" spans="1:60" ht="8.25" customHeight="1">
      <c r="A9" s="1"/>
      <c r="B9" s="2"/>
      <c r="C9" s="3"/>
      <c r="D9" s="138"/>
      <c r="E9" s="4"/>
      <c r="F9" s="290"/>
      <c r="G9" s="6"/>
      <c r="H9" s="291"/>
      <c r="I9" s="7"/>
      <c r="J9" s="6"/>
      <c r="K9" s="7"/>
      <c r="L9" s="126"/>
      <c r="M9" s="12"/>
      <c r="N9" s="12"/>
      <c r="O9" s="2"/>
      <c r="P9" s="56"/>
      <c r="Q9" s="9"/>
      <c r="R9" s="10"/>
      <c r="S9" s="11"/>
      <c r="T9" s="12"/>
      <c r="U9" s="12"/>
      <c r="V9" s="12"/>
      <c r="W9" s="12"/>
      <c r="X9" s="2"/>
      <c r="Y9" s="2"/>
      <c r="Z9" s="2"/>
      <c r="AA9" s="2"/>
      <c r="AB9" s="59"/>
      <c r="AC9" s="62"/>
      <c r="AD9" s="2"/>
      <c r="AE9" s="2"/>
      <c r="AF9" s="2"/>
      <c r="AG9" s="2"/>
      <c r="AH9" s="2"/>
      <c r="AI9" s="12"/>
      <c r="AJ9" s="12"/>
      <c r="AK9" s="12"/>
      <c r="AL9" s="13"/>
      <c r="AM9" s="11"/>
      <c r="AN9" s="12"/>
      <c r="AO9" s="4"/>
      <c r="AP9" s="14"/>
      <c r="AQ9" s="2"/>
      <c r="AR9" s="16"/>
      <c r="AS9" s="16"/>
      <c r="AT9" s="16"/>
      <c r="AU9" s="51"/>
      <c r="AV9" s="18"/>
      <c r="AW9" s="18" t="str">
        <f t="shared" si="0"/>
        <v/>
      </c>
      <c r="AX9" s="18" t="str">
        <f t="shared" si="1"/>
        <v/>
      </c>
      <c r="AY9" s="18"/>
      <c r="AZ9" s="18"/>
      <c r="BA9" s="18"/>
      <c r="BB9" s="18"/>
      <c r="BC9" s="18" t="str">
        <f t="shared" si="2"/>
        <v/>
      </c>
      <c r="BD9" s="18" t="str">
        <f t="shared" si="3"/>
        <v/>
      </c>
      <c r="BE9" s="18"/>
      <c r="BF9" s="18" t="str">
        <f t="shared" si="4"/>
        <v/>
      </c>
      <c r="BG9" s="18" t="str">
        <f t="shared" si="5"/>
        <v/>
      </c>
      <c r="BH9" s="18"/>
    </row>
    <row r="10" spans="1:60" ht="8.25" customHeight="1">
      <c r="A10" s="1"/>
      <c r="B10" s="2"/>
      <c r="C10" s="3"/>
      <c r="D10" s="138"/>
      <c r="E10" s="4"/>
      <c r="F10" s="290"/>
      <c r="G10" s="6"/>
      <c r="H10" s="291"/>
      <c r="I10" s="7"/>
      <c r="J10" s="6"/>
      <c r="K10" s="7"/>
      <c r="L10" s="126"/>
      <c r="M10" s="12"/>
      <c r="N10" s="12"/>
      <c r="O10" s="2"/>
      <c r="P10" s="56"/>
      <c r="Q10" s="9"/>
      <c r="R10" s="10"/>
      <c r="S10" s="11"/>
      <c r="T10" s="12"/>
      <c r="U10" s="12"/>
      <c r="V10" s="12"/>
      <c r="W10" s="12"/>
      <c r="X10" s="2"/>
      <c r="Y10" s="2"/>
      <c r="Z10" s="2"/>
      <c r="AA10" s="2"/>
      <c r="AB10" s="59"/>
      <c r="AC10" s="62"/>
      <c r="AD10" s="2"/>
      <c r="AE10" s="2"/>
      <c r="AF10" s="2"/>
      <c r="AG10" s="2"/>
      <c r="AH10" s="2"/>
      <c r="AI10" s="12"/>
      <c r="AJ10" s="12"/>
      <c r="AK10" s="12"/>
      <c r="AL10" s="13"/>
      <c r="AM10" s="11"/>
      <c r="AN10" s="12"/>
      <c r="AO10" s="4"/>
      <c r="AP10" s="14"/>
      <c r="AQ10" s="2"/>
      <c r="AR10" s="16"/>
      <c r="AS10" s="16"/>
      <c r="AT10" s="16"/>
      <c r="AU10" s="51"/>
      <c r="AV10" s="18"/>
      <c r="AW10" s="18" t="str">
        <f t="shared" si="0"/>
        <v/>
      </c>
      <c r="AX10" s="18" t="str">
        <f t="shared" si="1"/>
        <v/>
      </c>
      <c r="AY10" s="18"/>
      <c r="AZ10" s="18"/>
      <c r="BA10" s="18"/>
      <c r="BB10" s="18"/>
      <c r="BC10" s="18" t="str">
        <f t="shared" si="2"/>
        <v/>
      </c>
      <c r="BD10" s="18" t="str">
        <f t="shared" si="3"/>
        <v/>
      </c>
      <c r="BE10" s="18"/>
      <c r="BF10" s="18" t="str">
        <f t="shared" si="4"/>
        <v/>
      </c>
      <c r="BG10" s="18" t="str">
        <f t="shared" si="5"/>
        <v/>
      </c>
      <c r="BH10" s="18"/>
    </row>
    <row r="11" spans="1:60" ht="8.25" customHeight="1">
      <c r="A11" s="1"/>
      <c r="B11" s="2"/>
      <c r="C11" s="3"/>
      <c r="D11" s="138"/>
      <c r="E11" s="4"/>
      <c r="F11" s="290"/>
      <c r="G11" s="6"/>
      <c r="H11" s="291"/>
      <c r="I11" s="7"/>
      <c r="J11" s="6"/>
      <c r="K11" s="7"/>
      <c r="L11" s="126"/>
      <c r="M11" s="12"/>
      <c r="N11" s="12"/>
      <c r="O11" s="2"/>
      <c r="P11" s="56"/>
      <c r="Q11" s="9"/>
      <c r="R11" s="10"/>
      <c r="S11" s="11"/>
      <c r="T11" s="12"/>
      <c r="U11" s="12"/>
      <c r="V11" s="12"/>
      <c r="W11" s="12"/>
      <c r="X11" s="2"/>
      <c r="Y11" s="2"/>
      <c r="Z11" s="2"/>
      <c r="AA11" s="2"/>
      <c r="AB11" s="59"/>
      <c r="AC11" s="62"/>
      <c r="AD11" s="2"/>
      <c r="AE11" s="2"/>
      <c r="AF11" s="2"/>
      <c r="AG11" s="2"/>
      <c r="AH11" s="2"/>
      <c r="AI11" s="12"/>
      <c r="AJ11" s="12"/>
      <c r="AK11" s="12"/>
      <c r="AL11" s="13"/>
      <c r="AM11" s="11"/>
      <c r="AN11" s="12"/>
      <c r="AO11" s="4"/>
      <c r="AP11" s="14"/>
      <c r="AQ11" s="2"/>
      <c r="AR11" s="16"/>
      <c r="AS11" s="16"/>
      <c r="AT11" s="16"/>
      <c r="AU11" s="51"/>
      <c r="AV11" s="18"/>
      <c r="AW11" s="18" t="str">
        <f t="shared" si="0"/>
        <v/>
      </c>
      <c r="AX11" s="18" t="str">
        <f t="shared" si="1"/>
        <v/>
      </c>
      <c r="AY11" s="18"/>
      <c r="AZ11" s="18"/>
      <c r="BA11" s="18"/>
      <c r="BB11" s="18"/>
      <c r="BC11" s="18" t="str">
        <f t="shared" si="2"/>
        <v/>
      </c>
      <c r="BD11" s="18" t="str">
        <f t="shared" si="3"/>
        <v/>
      </c>
      <c r="BE11" s="18"/>
      <c r="BF11" s="18" t="str">
        <f t="shared" si="4"/>
        <v/>
      </c>
      <c r="BG11" s="18" t="str">
        <f t="shared" si="5"/>
        <v/>
      </c>
      <c r="BH11" s="18"/>
    </row>
    <row r="12" spans="1:60" ht="8.25" customHeight="1">
      <c r="A12" s="1"/>
      <c r="B12" s="2"/>
      <c r="C12" s="3"/>
      <c r="D12" s="138"/>
      <c r="E12" s="4"/>
      <c r="F12" s="290"/>
      <c r="G12" s="6"/>
      <c r="H12" s="291"/>
      <c r="I12" s="7"/>
      <c r="J12" s="6"/>
      <c r="K12" s="7"/>
      <c r="L12" s="126"/>
      <c r="M12" s="12"/>
      <c r="N12" s="12"/>
      <c r="O12" s="2"/>
      <c r="P12" s="56"/>
      <c r="Q12" s="9"/>
      <c r="R12" s="10"/>
      <c r="S12" s="11"/>
      <c r="T12" s="12"/>
      <c r="U12" s="12"/>
      <c r="V12" s="12"/>
      <c r="W12" s="12"/>
      <c r="X12" s="2"/>
      <c r="Y12" s="2"/>
      <c r="Z12" s="2"/>
      <c r="AA12" s="2"/>
      <c r="AB12" s="59"/>
      <c r="AC12" s="62"/>
      <c r="AD12" s="2"/>
      <c r="AE12" s="2"/>
      <c r="AF12" s="2"/>
      <c r="AG12" s="2"/>
      <c r="AH12" s="2"/>
      <c r="AI12" s="12"/>
      <c r="AJ12" s="12"/>
      <c r="AK12" s="12"/>
      <c r="AL12" s="13"/>
      <c r="AM12" s="11"/>
      <c r="AN12" s="12"/>
      <c r="AO12" s="4"/>
      <c r="AP12" s="14"/>
      <c r="AQ12" s="2"/>
      <c r="AR12" s="16"/>
      <c r="AS12" s="16"/>
      <c r="AT12" s="16"/>
      <c r="AU12" s="51"/>
      <c r="AV12" s="18"/>
      <c r="AW12" s="18" t="str">
        <f t="shared" si="0"/>
        <v/>
      </c>
      <c r="AX12" s="18" t="str">
        <f t="shared" si="1"/>
        <v/>
      </c>
      <c r="AY12" s="18"/>
      <c r="AZ12" s="18"/>
      <c r="BA12" s="18"/>
      <c r="BB12" s="18"/>
      <c r="BC12" s="18" t="str">
        <f t="shared" si="2"/>
        <v/>
      </c>
      <c r="BD12" s="18" t="str">
        <f t="shared" si="3"/>
        <v/>
      </c>
      <c r="BE12" s="18"/>
      <c r="BF12" s="18" t="str">
        <f t="shared" si="4"/>
        <v/>
      </c>
      <c r="BG12" s="18" t="str">
        <f t="shared" si="5"/>
        <v/>
      </c>
      <c r="BH12" s="18"/>
    </row>
    <row r="13" spans="1:60" ht="8.25" customHeight="1">
      <c r="A13" s="1"/>
      <c r="B13" s="2"/>
      <c r="C13" s="3"/>
      <c r="D13" s="138"/>
      <c r="E13" s="4"/>
      <c r="F13" s="292"/>
      <c r="G13" s="6"/>
      <c r="H13" s="293"/>
      <c r="I13" s="7"/>
      <c r="J13" s="6"/>
      <c r="K13" s="7"/>
      <c r="L13" s="126"/>
      <c r="M13" s="12"/>
      <c r="N13" s="12"/>
      <c r="O13" s="2"/>
      <c r="P13" s="56"/>
      <c r="Q13" s="9"/>
      <c r="R13" s="10"/>
      <c r="S13" s="11"/>
      <c r="T13" s="12"/>
      <c r="U13" s="12"/>
      <c r="V13" s="12"/>
      <c r="W13" s="12"/>
      <c r="X13" s="2"/>
      <c r="Y13" s="2"/>
      <c r="Z13" s="2"/>
      <c r="AA13" s="2"/>
      <c r="AB13" s="59"/>
      <c r="AC13" s="62"/>
      <c r="AD13" s="2"/>
      <c r="AE13" s="2"/>
      <c r="AF13" s="2"/>
      <c r="AG13" s="2"/>
      <c r="AH13" s="2"/>
      <c r="AI13" s="12"/>
      <c r="AJ13" s="12"/>
      <c r="AK13" s="12"/>
      <c r="AL13" s="13"/>
      <c r="AM13" s="11"/>
      <c r="AN13" s="12"/>
      <c r="AO13" s="4"/>
      <c r="AP13" s="14"/>
      <c r="AQ13" s="2"/>
      <c r="AR13" s="15"/>
      <c r="AS13" s="16"/>
      <c r="AT13" s="15"/>
      <c r="AU13" s="17"/>
      <c r="AV13" s="18"/>
      <c r="AW13" s="18" t="str">
        <f t="shared" si="0"/>
        <v/>
      </c>
      <c r="AX13" s="18" t="str">
        <f t="shared" si="1"/>
        <v/>
      </c>
      <c r="AY13" s="18"/>
      <c r="AZ13" s="18"/>
      <c r="BA13" s="18"/>
      <c r="BB13" s="18"/>
      <c r="BC13" s="18" t="str">
        <f t="shared" si="2"/>
        <v/>
      </c>
      <c r="BD13" s="18" t="str">
        <f t="shared" si="3"/>
        <v/>
      </c>
      <c r="BE13" s="18"/>
      <c r="BF13" s="18" t="str">
        <f t="shared" si="4"/>
        <v/>
      </c>
      <c r="BG13" s="18" t="str">
        <f t="shared" si="5"/>
        <v/>
      </c>
      <c r="BH13" s="18"/>
    </row>
    <row r="14" spans="1:60" ht="8.25" customHeight="1">
      <c r="A14" s="1"/>
      <c r="B14" s="2"/>
      <c r="C14" s="3"/>
      <c r="D14" s="138"/>
      <c r="E14" s="4"/>
      <c r="F14" s="5"/>
      <c r="G14" s="6"/>
      <c r="H14" s="7"/>
      <c r="I14" s="7"/>
      <c r="J14" s="6"/>
      <c r="K14" s="7"/>
      <c r="L14" s="126"/>
      <c r="M14" s="12"/>
      <c r="N14" s="12"/>
      <c r="O14" s="2"/>
      <c r="P14" s="56"/>
      <c r="Q14" s="9"/>
      <c r="R14" s="10"/>
      <c r="S14" s="11"/>
      <c r="T14" s="12"/>
      <c r="U14" s="12"/>
      <c r="V14" s="12"/>
      <c r="W14" s="12"/>
      <c r="X14" s="2"/>
      <c r="Y14" s="2"/>
      <c r="Z14" s="2"/>
      <c r="AA14" s="2"/>
      <c r="AB14" s="59"/>
      <c r="AC14" s="62"/>
      <c r="AD14" s="2"/>
      <c r="AE14" s="2"/>
      <c r="AF14" s="2"/>
      <c r="AG14" s="2"/>
      <c r="AH14" s="2"/>
      <c r="AI14" s="12"/>
      <c r="AJ14" s="12"/>
      <c r="AK14" s="12"/>
      <c r="AL14" s="13"/>
      <c r="AM14" s="11"/>
      <c r="AN14" s="12"/>
      <c r="AO14" s="4"/>
      <c r="AP14" s="14"/>
      <c r="AQ14" s="2"/>
      <c r="AR14" s="15"/>
      <c r="AS14" s="16"/>
      <c r="AT14" s="15"/>
      <c r="AU14" s="17"/>
      <c r="AV14" s="18"/>
      <c r="AW14" s="18" t="str">
        <f t="shared" si="0"/>
        <v/>
      </c>
      <c r="AX14" s="18" t="str">
        <f t="shared" si="1"/>
        <v/>
      </c>
      <c r="AY14" s="18"/>
      <c r="AZ14" s="18"/>
      <c r="BA14" s="18"/>
      <c r="BB14" s="18"/>
      <c r="BC14" s="18" t="str">
        <f t="shared" si="2"/>
        <v/>
      </c>
      <c r="BD14" s="18" t="str">
        <f t="shared" si="3"/>
        <v/>
      </c>
      <c r="BE14" s="18"/>
      <c r="BF14" s="18" t="str">
        <f t="shared" si="4"/>
        <v/>
      </c>
      <c r="BG14" s="18" t="str">
        <f t="shared" si="5"/>
        <v/>
      </c>
      <c r="BH14" s="18"/>
    </row>
    <row r="15" spans="1:60" ht="8.25" customHeight="1">
      <c r="A15" s="1"/>
      <c r="B15" s="2"/>
      <c r="C15" s="3"/>
      <c r="D15" s="138"/>
      <c r="E15" s="4"/>
      <c r="F15" s="64"/>
      <c r="G15" s="6"/>
      <c r="H15" s="110"/>
      <c r="I15" s="7"/>
      <c r="J15" s="6"/>
      <c r="K15" s="7"/>
      <c r="L15" s="69"/>
      <c r="M15" s="12"/>
      <c r="N15" s="12"/>
      <c r="O15" s="2"/>
      <c r="P15" s="56"/>
      <c r="Q15" s="9"/>
      <c r="R15" s="10"/>
      <c r="S15" s="11"/>
      <c r="T15" s="12"/>
      <c r="U15" s="12"/>
      <c r="V15" s="12"/>
      <c r="W15" s="12"/>
      <c r="X15" s="2"/>
      <c r="Y15" s="2"/>
      <c r="Z15" s="2"/>
      <c r="AA15" s="2"/>
      <c r="AB15" s="59"/>
      <c r="AC15" s="62"/>
      <c r="AD15" s="2"/>
      <c r="AE15" s="2"/>
      <c r="AF15" s="2"/>
      <c r="AG15" s="2"/>
      <c r="AH15" s="2"/>
      <c r="AI15" s="12"/>
      <c r="AJ15" s="12"/>
      <c r="AK15" s="12"/>
      <c r="AL15" s="13"/>
      <c r="AM15" s="11"/>
      <c r="AN15" s="12"/>
      <c r="AO15" s="4"/>
      <c r="AP15" s="14"/>
      <c r="AQ15" s="2"/>
      <c r="AR15" s="15"/>
      <c r="AS15" s="16"/>
      <c r="AT15" s="15"/>
      <c r="AU15" s="17"/>
      <c r="AV15" s="18"/>
      <c r="AW15" s="18" t="str">
        <f t="shared" si="0"/>
        <v/>
      </c>
      <c r="AX15" s="18" t="str">
        <f t="shared" si="1"/>
        <v/>
      </c>
      <c r="AY15" s="18"/>
      <c r="AZ15" s="18"/>
      <c r="BA15" s="18"/>
      <c r="BB15" s="18"/>
      <c r="BC15" s="18" t="str">
        <f t="shared" si="2"/>
        <v/>
      </c>
      <c r="BD15" s="18" t="str">
        <f t="shared" si="3"/>
        <v/>
      </c>
      <c r="BE15" s="18"/>
      <c r="BF15" s="18" t="str">
        <f t="shared" si="4"/>
        <v/>
      </c>
      <c r="BG15" s="18" t="str">
        <f t="shared" si="5"/>
        <v/>
      </c>
      <c r="BH15" s="18"/>
    </row>
    <row r="16" spans="1:60" ht="8.25" customHeight="1">
      <c r="A16" s="1"/>
      <c r="B16" s="2"/>
      <c r="C16" s="3"/>
      <c r="D16" s="138"/>
      <c r="E16" s="4"/>
      <c r="F16" s="64"/>
      <c r="G16" s="6"/>
      <c r="H16" s="110"/>
      <c r="I16" s="7"/>
      <c r="J16" s="6"/>
      <c r="K16" s="7"/>
      <c r="L16" s="69"/>
      <c r="M16" s="12"/>
      <c r="N16" s="12"/>
      <c r="O16" s="2"/>
      <c r="P16" s="56"/>
      <c r="Q16" s="9"/>
      <c r="R16" s="10"/>
      <c r="S16" s="11"/>
      <c r="T16" s="12"/>
      <c r="U16" s="12"/>
      <c r="V16" s="12"/>
      <c r="W16" s="12"/>
      <c r="X16" s="2"/>
      <c r="Y16" s="2"/>
      <c r="Z16" s="2"/>
      <c r="AA16" s="2"/>
      <c r="AB16" s="59"/>
      <c r="AC16" s="62"/>
      <c r="AD16" s="2"/>
      <c r="AE16" s="2"/>
      <c r="AF16" s="2"/>
      <c r="AG16" s="2"/>
      <c r="AH16" s="2"/>
      <c r="AI16" s="12"/>
      <c r="AJ16" s="12"/>
      <c r="AK16" s="12"/>
      <c r="AL16" s="13"/>
      <c r="AM16" s="11"/>
      <c r="AN16" s="12"/>
      <c r="AO16" s="4"/>
      <c r="AP16" s="14"/>
      <c r="AQ16" s="2"/>
      <c r="AR16" s="15"/>
      <c r="AS16" s="16"/>
      <c r="AT16" s="15"/>
      <c r="AU16" s="17"/>
      <c r="AV16" s="18"/>
      <c r="AW16" s="18" t="str">
        <f t="shared" si="0"/>
        <v/>
      </c>
      <c r="AX16" s="18" t="str">
        <f t="shared" si="1"/>
        <v/>
      </c>
      <c r="AY16" s="18"/>
      <c r="AZ16" s="18"/>
      <c r="BA16" s="18"/>
      <c r="BB16" s="18"/>
      <c r="BC16" s="18" t="str">
        <f t="shared" si="2"/>
        <v/>
      </c>
      <c r="BD16" s="18" t="str">
        <f t="shared" si="3"/>
        <v/>
      </c>
      <c r="BE16" s="18"/>
      <c r="BF16" s="18" t="str">
        <f t="shared" si="4"/>
        <v/>
      </c>
      <c r="BG16" s="18" t="str">
        <f t="shared" si="5"/>
        <v/>
      </c>
      <c r="BH16" s="18"/>
    </row>
    <row r="17" spans="1:60" ht="8.25" customHeight="1">
      <c r="A17" s="1"/>
      <c r="B17" s="2"/>
      <c r="C17" s="3"/>
      <c r="D17" s="138"/>
      <c r="E17" s="4"/>
      <c r="F17" s="64"/>
      <c r="G17" s="6"/>
      <c r="H17" s="110"/>
      <c r="I17" s="7"/>
      <c r="J17" s="6"/>
      <c r="K17" s="7"/>
      <c r="L17" s="69"/>
      <c r="M17" s="12"/>
      <c r="N17" s="12"/>
      <c r="O17" s="2"/>
      <c r="P17" s="56"/>
      <c r="Q17" s="9"/>
      <c r="R17" s="10"/>
      <c r="S17" s="11"/>
      <c r="T17" s="12"/>
      <c r="U17" s="12"/>
      <c r="V17" s="12"/>
      <c r="W17" s="12"/>
      <c r="X17" s="2"/>
      <c r="Y17" s="2"/>
      <c r="Z17" s="2"/>
      <c r="AA17" s="2"/>
      <c r="AB17" s="59"/>
      <c r="AC17" s="62"/>
      <c r="AD17" s="2"/>
      <c r="AE17" s="2"/>
      <c r="AF17" s="2"/>
      <c r="AG17" s="2"/>
      <c r="AH17" s="2"/>
      <c r="AI17" s="12"/>
      <c r="AJ17" s="12"/>
      <c r="AK17" s="12"/>
      <c r="AL17" s="13"/>
      <c r="AM17" s="11"/>
      <c r="AN17" s="12"/>
      <c r="AO17" s="4"/>
      <c r="AP17" s="14"/>
      <c r="AQ17" s="2"/>
      <c r="AR17" s="15"/>
      <c r="AS17" s="16"/>
      <c r="AT17" s="15"/>
      <c r="AU17" s="17"/>
      <c r="AV17" s="18"/>
      <c r="AW17" s="18" t="str">
        <f t="shared" si="0"/>
        <v/>
      </c>
      <c r="AX17" s="18" t="str">
        <f t="shared" si="1"/>
        <v/>
      </c>
      <c r="AY17" s="18"/>
      <c r="AZ17" s="18"/>
      <c r="BA17" s="18"/>
      <c r="BB17" s="18"/>
      <c r="BC17" s="18" t="str">
        <f t="shared" si="2"/>
        <v/>
      </c>
      <c r="BD17" s="18" t="str">
        <f t="shared" si="3"/>
        <v/>
      </c>
      <c r="BE17" s="18"/>
      <c r="BF17" s="18" t="str">
        <f t="shared" si="4"/>
        <v/>
      </c>
      <c r="BG17" s="18" t="str">
        <f t="shared" si="5"/>
        <v/>
      </c>
      <c r="BH17" s="18"/>
    </row>
    <row r="18" spans="1:60" ht="8.25" customHeight="1">
      <c r="A18" s="1"/>
      <c r="B18" s="2"/>
      <c r="C18" s="3"/>
      <c r="D18" s="138"/>
      <c r="E18" s="4"/>
      <c r="F18" s="64"/>
      <c r="G18" s="6"/>
      <c r="H18" s="110"/>
      <c r="I18" s="7"/>
      <c r="J18" s="6"/>
      <c r="K18" s="7"/>
      <c r="L18" s="126"/>
      <c r="M18" s="12"/>
      <c r="N18" s="12"/>
      <c r="O18" s="2"/>
      <c r="P18" s="56"/>
      <c r="Q18" s="9"/>
      <c r="R18" s="10"/>
      <c r="S18" s="11"/>
      <c r="T18" s="12"/>
      <c r="U18" s="12"/>
      <c r="V18" s="12"/>
      <c r="W18" s="12"/>
      <c r="X18" s="2"/>
      <c r="Y18" s="2"/>
      <c r="Z18" s="2"/>
      <c r="AA18" s="2"/>
      <c r="AB18" s="59"/>
      <c r="AC18" s="62"/>
      <c r="AD18" s="2"/>
      <c r="AE18" s="2"/>
      <c r="AF18" s="2"/>
      <c r="AG18" s="2"/>
      <c r="AH18" s="2"/>
      <c r="AI18" s="12"/>
      <c r="AJ18" s="12"/>
      <c r="AK18" s="12"/>
      <c r="AL18" s="13"/>
      <c r="AM18" s="11"/>
      <c r="AN18" s="12"/>
      <c r="AO18" s="4"/>
      <c r="AP18" s="14"/>
      <c r="AQ18" s="248"/>
      <c r="AR18" s="15"/>
      <c r="AS18" s="16"/>
      <c r="AT18" s="15"/>
      <c r="AU18" s="17"/>
      <c r="AV18" s="18"/>
      <c r="AW18" s="18" t="str">
        <f t="shared" si="0"/>
        <v/>
      </c>
      <c r="AX18" s="18" t="str">
        <f t="shared" si="1"/>
        <v/>
      </c>
      <c r="AY18" s="18"/>
      <c r="AZ18" s="18"/>
      <c r="BA18" s="18"/>
      <c r="BB18" s="18"/>
      <c r="BC18" s="18" t="str">
        <f t="shared" si="2"/>
        <v/>
      </c>
      <c r="BD18" s="18" t="str">
        <f t="shared" si="3"/>
        <v/>
      </c>
      <c r="BE18" s="18"/>
      <c r="BF18" s="18" t="str">
        <f t="shared" si="4"/>
        <v/>
      </c>
      <c r="BG18" s="18" t="str">
        <f t="shared" si="5"/>
        <v/>
      </c>
      <c r="BH18" s="18"/>
    </row>
    <row r="19" spans="1:60" ht="8.25" customHeight="1">
      <c r="A19" s="1"/>
      <c r="B19" s="2"/>
      <c r="C19" s="3"/>
      <c r="D19" s="138"/>
      <c r="E19" s="4"/>
      <c r="F19" s="64"/>
      <c r="G19" s="6"/>
      <c r="H19" s="110"/>
      <c r="I19" s="7"/>
      <c r="J19" s="6"/>
      <c r="K19" s="7"/>
      <c r="L19" s="126"/>
      <c r="M19" s="12"/>
      <c r="N19" s="12"/>
      <c r="O19" s="2"/>
      <c r="P19" s="56"/>
      <c r="Q19" s="9"/>
      <c r="R19" s="10"/>
      <c r="S19" s="11"/>
      <c r="T19" s="12"/>
      <c r="U19" s="12"/>
      <c r="V19" s="12"/>
      <c r="W19" s="12"/>
      <c r="X19" s="2"/>
      <c r="Y19" s="2"/>
      <c r="Z19" s="2"/>
      <c r="AA19" s="2"/>
      <c r="AB19" s="59"/>
      <c r="AC19" s="62"/>
      <c r="AD19" s="2"/>
      <c r="AE19" s="2"/>
      <c r="AF19" s="2"/>
      <c r="AG19" s="2"/>
      <c r="AH19" s="2"/>
      <c r="AI19" s="12"/>
      <c r="AJ19" s="12"/>
      <c r="AK19" s="12"/>
      <c r="AL19" s="13"/>
      <c r="AM19" s="11"/>
      <c r="AN19" s="12"/>
      <c r="AO19" s="4"/>
      <c r="AP19" s="14"/>
      <c r="AQ19" s="2"/>
      <c r="AR19" s="16"/>
      <c r="AS19" s="16"/>
      <c r="AT19" s="16"/>
      <c r="AU19" s="51"/>
      <c r="AV19" s="18"/>
      <c r="AW19" s="18" t="str">
        <f t="shared" si="0"/>
        <v/>
      </c>
      <c r="AX19" s="18" t="str">
        <f t="shared" si="1"/>
        <v/>
      </c>
      <c r="AY19" s="18"/>
      <c r="AZ19" s="18"/>
      <c r="BA19" s="18"/>
      <c r="BB19" s="18"/>
      <c r="BC19" s="18" t="str">
        <f t="shared" si="2"/>
        <v/>
      </c>
      <c r="BD19" s="18" t="str">
        <f t="shared" si="3"/>
        <v/>
      </c>
      <c r="BE19" s="18"/>
      <c r="BF19" s="18" t="str">
        <f t="shared" si="4"/>
        <v/>
      </c>
      <c r="BG19" s="18" t="str">
        <f t="shared" si="5"/>
        <v/>
      </c>
      <c r="BH19" s="18"/>
    </row>
    <row r="20" spans="1:60" ht="8.25" customHeight="1">
      <c r="A20" s="1"/>
      <c r="B20" s="2"/>
      <c r="C20" s="3"/>
      <c r="D20" s="138"/>
      <c r="E20" s="4"/>
      <c r="F20" s="64"/>
      <c r="G20" s="6"/>
      <c r="H20" s="110"/>
      <c r="I20" s="7"/>
      <c r="J20" s="6"/>
      <c r="K20" s="7"/>
      <c r="L20" s="126"/>
      <c r="M20" s="12"/>
      <c r="N20" s="12"/>
      <c r="O20" s="2"/>
      <c r="P20" s="56"/>
      <c r="Q20" s="9"/>
      <c r="R20" s="10"/>
      <c r="S20" s="11"/>
      <c r="T20" s="12"/>
      <c r="U20" s="12"/>
      <c r="V20" s="12"/>
      <c r="W20" s="12"/>
      <c r="X20" s="2"/>
      <c r="Y20" s="2"/>
      <c r="Z20" s="2"/>
      <c r="AA20" s="2"/>
      <c r="AB20" s="59"/>
      <c r="AC20" s="62"/>
      <c r="AD20" s="2"/>
      <c r="AE20" s="2"/>
      <c r="AF20" s="2"/>
      <c r="AG20" s="2"/>
      <c r="AH20" s="2"/>
      <c r="AI20" s="12"/>
      <c r="AJ20" s="12"/>
      <c r="AK20" s="12"/>
      <c r="AL20" s="13"/>
      <c r="AM20" s="11"/>
      <c r="AN20" s="12"/>
      <c r="AO20" s="4"/>
      <c r="AP20" s="14"/>
      <c r="AQ20" s="248"/>
      <c r="AR20" s="15"/>
      <c r="AS20" s="16"/>
      <c r="AT20" s="15"/>
      <c r="AU20" s="17"/>
      <c r="AV20" s="18"/>
      <c r="AW20" s="18" t="str">
        <f t="shared" si="0"/>
        <v/>
      </c>
      <c r="AX20" s="18" t="str">
        <f t="shared" si="1"/>
        <v/>
      </c>
      <c r="AY20" s="18"/>
      <c r="AZ20" s="18"/>
      <c r="BA20" s="18"/>
      <c r="BB20" s="18"/>
      <c r="BC20" s="18" t="str">
        <f t="shared" si="2"/>
        <v/>
      </c>
      <c r="BD20" s="18" t="str">
        <f t="shared" si="3"/>
        <v/>
      </c>
      <c r="BE20" s="18"/>
      <c r="BF20" s="18" t="str">
        <f t="shared" si="4"/>
        <v/>
      </c>
      <c r="BG20" s="18" t="str">
        <f t="shared" si="5"/>
        <v/>
      </c>
      <c r="BH20" s="18"/>
    </row>
    <row r="21" spans="1:60" ht="8.25" customHeight="1">
      <c r="A21" s="1"/>
      <c r="B21" s="2"/>
      <c r="C21" s="3"/>
      <c r="D21" s="138"/>
      <c r="E21" s="4"/>
      <c r="F21" s="64"/>
      <c r="G21" s="6"/>
      <c r="H21" s="110"/>
      <c r="I21" s="7"/>
      <c r="J21" s="6"/>
      <c r="K21" s="7"/>
      <c r="L21" s="126"/>
      <c r="M21" s="12"/>
      <c r="N21" s="12"/>
      <c r="O21" s="2"/>
      <c r="P21" s="56"/>
      <c r="Q21" s="9"/>
      <c r="R21" s="10"/>
      <c r="S21" s="11"/>
      <c r="T21" s="12"/>
      <c r="U21" s="12"/>
      <c r="V21" s="12"/>
      <c r="W21" s="12"/>
      <c r="X21" s="2"/>
      <c r="Y21" s="2"/>
      <c r="Z21" s="2"/>
      <c r="AA21" s="2"/>
      <c r="AB21" s="59"/>
      <c r="AC21" s="62"/>
      <c r="AD21" s="2"/>
      <c r="AE21" s="2"/>
      <c r="AF21" s="2"/>
      <c r="AG21" s="2"/>
      <c r="AH21" s="2"/>
      <c r="AI21" s="12"/>
      <c r="AJ21" s="12"/>
      <c r="AK21" s="12"/>
      <c r="AL21" s="13"/>
      <c r="AM21" s="11"/>
      <c r="AN21" s="12"/>
      <c r="AO21" s="4"/>
      <c r="AP21" s="14"/>
      <c r="AQ21" s="2"/>
      <c r="AR21" s="16"/>
      <c r="AS21" s="16"/>
      <c r="AT21" s="16"/>
      <c r="AU21" s="51"/>
      <c r="AV21" s="18"/>
      <c r="AW21" s="18" t="str">
        <f t="shared" si="0"/>
        <v/>
      </c>
      <c r="AX21" s="18" t="str">
        <f t="shared" si="1"/>
        <v/>
      </c>
      <c r="AY21" s="18"/>
      <c r="AZ21" s="18"/>
      <c r="BA21" s="18"/>
      <c r="BB21" s="18"/>
      <c r="BC21" s="18" t="str">
        <f t="shared" si="2"/>
        <v/>
      </c>
      <c r="BD21" s="18" t="str">
        <f t="shared" si="3"/>
        <v/>
      </c>
      <c r="BE21" s="18"/>
      <c r="BF21" s="18" t="str">
        <f t="shared" si="4"/>
        <v/>
      </c>
      <c r="BG21" s="18" t="str">
        <f t="shared" si="5"/>
        <v/>
      </c>
      <c r="BH21" s="18"/>
    </row>
    <row r="22" spans="1:60" ht="8.25" customHeight="1">
      <c r="A22" s="1"/>
      <c r="B22" s="2"/>
      <c r="C22" s="3"/>
      <c r="D22" s="138"/>
      <c r="E22" s="4"/>
      <c r="F22" s="64"/>
      <c r="G22" s="6"/>
      <c r="H22" s="110"/>
      <c r="I22" s="7"/>
      <c r="J22" s="6"/>
      <c r="K22" s="7"/>
      <c r="L22" s="126"/>
      <c r="M22" s="12"/>
      <c r="N22" s="12"/>
      <c r="O22" s="2"/>
      <c r="P22" s="56"/>
      <c r="Q22" s="9"/>
      <c r="R22" s="10"/>
      <c r="S22" s="11"/>
      <c r="T22" s="12"/>
      <c r="U22" s="12"/>
      <c r="V22" s="12"/>
      <c r="W22" s="12"/>
      <c r="X22" s="2"/>
      <c r="Y22" s="2"/>
      <c r="Z22" s="2"/>
      <c r="AA22" s="2"/>
      <c r="AB22" s="59"/>
      <c r="AC22" s="62"/>
      <c r="AD22" s="2"/>
      <c r="AE22" s="2"/>
      <c r="AF22" s="2"/>
      <c r="AG22" s="2"/>
      <c r="AH22" s="2"/>
      <c r="AI22" s="12"/>
      <c r="AJ22" s="12"/>
      <c r="AK22" s="12"/>
      <c r="AL22" s="13"/>
      <c r="AM22" s="11"/>
      <c r="AN22" s="12"/>
      <c r="AO22" s="4"/>
      <c r="AP22" s="14"/>
      <c r="AQ22" s="2"/>
      <c r="AR22" s="15"/>
      <c r="AS22" s="16"/>
      <c r="AT22" s="15"/>
      <c r="AU22" s="17"/>
      <c r="AV22" s="18"/>
      <c r="AW22" s="18" t="str">
        <f t="shared" si="0"/>
        <v/>
      </c>
      <c r="AX22" s="18" t="str">
        <f t="shared" si="1"/>
        <v/>
      </c>
      <c r="AY22" s="18"/>
      <c r="AZ22" s="18"/>
      <c r="BA22" s="18"/>
      <c r="BB22" s="18"/>
      <c r="BC22" s="18" t="str">
        <f t="shared" si="2"/>
        <v/>
      </c>
      <c r="BD22" s="18" t="str">
        <f t="shared" si="3"/>
        <v/>
      </c>
      <c r="BE22" s="18"/>
      <c r="BF22" s="18" t="str">
        <f t="shared" si="4"/>
        <v/>
      </c>
      <c r="BG22" s="18" t="str">
        <f t="shared" si="5"/>
        <v/>
      </c>
      <c r="BH22" s="18"/>
    </row>
    <row r="23" spans="1:60" ht="8.25" customHeight="1">
      <c r="A23" s="1"/>
      <c r="B23" s="2"/>
      <c r="C23" s="294"/>
      <c r="D23" s="138"/>
      <c r="E23" s="4"/>
      <c r="F23" s="5"/>
      <c r="G23" s="6"/>
      <c r="H23" s="7"/>
      <c r="I23" s="7"/>
      <c r="J23" s="6"/>
      <c r="K23" s="7"/>
      <c r="L23" s="69"/>
      <c r="M23" s="12"/>
      <c r="N23" s="12"/>
      <c r="O23" s="2"/>
      <c r="P23" s="56"/>
      <c r="Q23" s="9"/>
      <c r="R23" s="10"/>
      <c r="S23" s="11"/>
      <c r="T23" s="12"/>
      <c r="U23" s="12"/>
      <c r="V23" s="12"/>
      <c r="W23" s="12"/>
      <c r="X23" s="2"/>
      <c r="Y23" s="2"/>
      <c r="Z23" s="2"/>
      <c r="AA23" s="2"/>
      <c r="AB23" s="59"/>
      <c r="AC23" s="62"/>
      <c r="AD23" s="2"/>
      <c r="AE23" s="2"/>
      <c r="AF23" s="2"/>
      <c r="AG23" s="2"/>
      <c r="AH23" s="2"/>
      <c r="AI23" s="12"/>
      <c r="AJ23" s="12"/>
      <c r="AK23" s="12"/>
      <c r="AL23" s="13"/>
      <c r="AM23" s="11"/>
      <c r="AN23" s="12"/>
      <c r="AO23" s="4"/>
      <c r="AP23" s="14"/>
      <c r="AQ23" s="2"/>
      <c r="AR23" s="15"/>
      <c r="AS23" s="16"/>
      <c r="AT23" s="15"/>
      <c r="AU23" s="17"/>
      <c r="AV23" s="18"/>
      <c r="AW23" s="18" t="str">
        <f t="shared" si="0"/>
        <v/>
      </c>
      <c r="AX23" s="18" t="str">
        <f t="shared" si="1"/>
        <v/>
      </c>
      <c r="AY23" s="18"/>
      <c r="AZ23" s="18"/>
      <c r="BA23" s="18"/>
      <c r="BB23" s="18"/>
      <c r="BC23" s="18" t="str">
        <f t="shared" si="2"/>
        <v/>
      </c>
      <c r="BD23" s="18" t="str">
        <f t="shared" si="3"/>
        <v/>
      </c>
      <c r="BE23" s="18"/>
      <c r="BF23" s="18" t="str">
        <f t="shared" si="4"/>
        <v/>
      </c>
      <c r="BG23" s="18" t="str">
        <f t="shared" si="5"/>
        <v/>
      </c>
      <c r="BH23" s="18"/>
    </row>
    <row r="24" spans="1:60" ht="8.25" customHeight="1">
      <c r="A24" s="1"/>
      <c r="B24" s="2"/>
      <c r="C24" s="294"/>
      <c r="D24" s="138"/>
      <c r="E24" s="4"/>
      <c r="F24" s="5"/>
      <c r="G24" s="6"/>
      <c r="H24" s="7"/>
      <c r="I24" s="7"/>
      <c r="J24" s="6"/>
      <c r="K24" s="7"/>
      <c r="L24" s="69"/>
      <c r="M24" s="12"/>
      <c r="N24" s="12"/>
      <c r="O24" s="2"/>
      <c r="P24" s="56"/>
      <c r="Q24" s="9"/>
      <c r="R24" s="10"/>
      <c r="S24" s="11"/>
      <c r="T24" s="12"/>
      <c r="U24" s="12"/>
      <c r="V24" s="12"/>
      <c r="W24" s="12"/>
      <c r="X24" s="2"/>
      <c r="Y24" s="2"/>
      <c r="Z24" s="2"/>
      <c r="AA24" s="2"/>
      <c r="AB24" s="59"/>
      <c r="AC24" s="62"/>
      <c r="AD24" s="2"/>
      <c r="AE24" s="2"/>
      <c r="AF24" s="2"/>
      <c r="AG24" s="2"/>
      <c r="AH24" s="2"/>
      <c r="AI24" s="12"/>
      <c r="AJ24" s="12"/>
      <c r="AK24" s="12"/>
      <c r="AL24" s="13"/>
      <c r="AM24" s="11"/>
      <c r="AN24" s="12"/>
      <c r="AO24" s="4"/>
      <c r="AP24" s="14"/>
      <c r="AQ24" s="2"/>
      <c r="AR24" s="15"/>
      <c r="AS24" s="16"/>
      <c r="AT24" s="15"/>
      <c r="AU24" s="17"/>
      <c r="AV24" s="18"/>
      <c r="AW24" s="18" t="str">
        <f t="shared" si="0"/>
        <v/>
      </c>
      <c r="AX24" s="18" t="str">
        <f t="shared" si="1"/>
        <v/>
      </c>
      <c r="AY24" s="18"/>
      <c r="AZ24" s="18"/>
      <c r="BA24" s="18"/>
      <c r="BB24" s="18"/>
      <c r="BC24" s="18" t="str">
        <f t="shared" si="2"/>
        <v/>
      </c>
      <c r="BD24" s="18" t="str">
        <f t="shared" si="3"/>
        <v/>
      </c>
      <c r="BE24" s="18"/>
      <c r="BF24" s="18" t="str">
        <f t="shared" si="4"/>
        <v/>
      </c>
      <c r="BG24" s="18" t="str">
        <f t="shared" si="5"/>
        <v/>
      </c>
      <c r="BH24" s="18"/>
    </row>
    <row r="25" spans="1:60" ht="8.25" customHeight="1">
      <c r="A25" s="1"/>
      <c r="B25" s="2"/>
      <c r="C25" s="294"/>
      <c r="D25" s="138"/>
      <c r="E25" s="4"/>
      <c r="F25" s="64"/>
      <c r="G25" s="6"/>
      <c r="H25" s="110"/>
      <c r="I25" s="7"/>
      <c r="J25" s="6"/>
      <c r="K25" s="7"/>
      <c r="L25" s="69"/>
      <c r="M25" s="12"/>
      <c r="N25" s="12"/>
      <c r="O25" s="2"/>
      <c r="P25" s="56"/>
      <c r="Q25" s="9"/>
      <c r="R25" s="10"/>
      <c r="S25" s="11"/>
      <c r="T25" s="12"/>
      <c r="U25" s="12"/>
      <c r="V25" s="12"/>
      <c r="W25" s="12"/>
      <c r="X25" s="2"/>
      <c r="Y25" s="2"/>
      <c r="Z25" s="2"/>
      <c r="AA25" s="2"/>
      <c r="AB25" s="59"/>
      <c r="AC25" s="62"/>
      <c r="AD25" s="2"/>
      <c r="AE25" s="2"/>
      <c r="AF25" s="2"/>
      <c r="AG25" s="2"/>
      <c r="AH25" s="2"/>
      <c r="AI25" s="12"/>
      <c r="AJ25" s="12"/>
      <c r="AK25" s="12"/>
      <c r="AL25" s="13"/>
      <c r="AM25" s="11"/>
      <c r="AN25" s="12"/>
      <c r="AO25" s="4"/>
      <c r="AP25" s="14"/>
      <c r="AQ25" s="2"/>
      <c r="AR25" s="15"/>
      <c r="AS25" s="16"/>
      <c r="AT25" s="15"/>
      <c r="AU25" s="17"/>
      <c r="AV25" s="18"/>
      <c r="AW25" s="18" t="str">
        <f t="shared" si="0"/>
        <v/>
      </c>
      <c r="AX25" s="18" t="str">
        <f t="shared" si="1"/>
        <v/>
      </c>
      <c r="AY25" s="18"/>
      <c r="AZ25" s="18"/>
      <c r="BA25" s="18"/>
      <c r="BB25" s="18"/>
      <c r="BC25" s="18" t="str">
        <f t="shared" si="2"/>
        <v/>
      </c>
      <c r="BD25" s="18" t="str">
        <f t="shared" si="3"/>
        <v/>
      </c>
      <c r="BE25" s="18"/>
      <c r="BF25" s="18" t="str">
        <f t="shared" si="4"/>
        <v/>
      </c>
      <c r="BG25" s="18" t="str">
        <f t="shared" si="5"/>
        <v/>
      </c>
      <c r="BH25" s="18"/>
    </row>
    <row r="26" spans="1:60" ht="8.25" customHeight="1">
      <c r="A26" s="1"/>
      <c r="B26" s="2"/>
      <c r="C26" s="3"/>
      <c r="D26" s="138"/>
      <c r="E26" s="4"/>
      <c r="F26" s="64"/>
      <c r="G26" s="6"/>
      <c r="H26" s="110"/>
      <c r="I26" s="7"/>
      <c r="J26" s="6"/>
      <c r="K26" s="7"/>
      <c r="L26" s="69"/>
      <c r="M26" s="12"/>
      <c r="N26" s="12"/>
      <c r="O26" s="2"/>
      <c r="P26" s="56"/>
      <c r="Q26" s="9"/>
      <c r="R26" s="10"/>
      <c r="S26" s="11"/>
      <c r="T26" s="12"/>
      <c r="U26" s="12"/>
      <c r="V26" s="12"/>
      <c r="W26" s="12"/>
      <c r="X26" s="2"/>
      <c r="Y26" s="2"/>
      <c r="Z26" s="2"/>
      <c r="AA26" s="2"/>
      <c r="AB26" s="59"/>
      <c r="AC26" s="62"/>
      <c r="AD26" s="2"/>
      <c r="AE26" s="2"/>
      <c r="AF26" s="2"/>
      <c r="AG26" s="2"/>
      <c r="AH26" s="2"/>
      <c r="AI26" s="12"/>
      <c r="AJ26" s="12"/>
      <c r="AK26" s="12"/>
      <c r="AL26" s="13"/>
      <c r="AM26" s="11"/>
      <c r="AN26" s="12"/>
      <c r="AO26" s="4"/>
      <c r="AP26" s="14"/>
      <c r="AQ26" s="2"/>
      <c r="AR26" s="15"/>
      <c r="AS26" s="16"/>
      <c r="AT26" s="15"/>
      <c r="AU26" s="17"/>
      <c r="AV26" s="18"/>
      <c r="AW26" s="18" t="str">
        <f t="shared" si="0"/>
        <v/>
      </c>
      <c r="AX26" s="18" t="str">
        <f t="shared" si="1"/>
        <v/>
      </c>
      <c r="AY26" s="18"/>
      <c r="AZ26" s="18"/>
      <c r="BA26" s="18"/>
      <c r="BB26" s="18"/>
      <c r="BC26" s="18" t="str">
        <f t="shared" si="2"/>
        <v/>
      </c>
      <c r="BD26" s="18" t="str">
        <f t="shared" si="3"/>
        <v/>
      </c>
      <c r="BE26" s="18"/>
      <c r="BF26" s="18" t="str">
        <f t="shared" si="4"/>
        <v/>
      </c>
      <c r="BG26" s="18" t="str">
        <f t="shared" si="5"/>
        <v/>
      </c>
      <c r="BH26" s="18"/>
    </row>
    <row r="27" spans="1:60" ht="8.25" customHeight="1">
      <c r="A27" s="1"/>
      <c r="B27" s="2"/>
      <c r="C27" s="3"/>
      <c r="D27" s="138"/>
      <c r="E27" s="4"/>
      <c r="F27" s="64"/>
      <c r="G27" s="6"/>
      <c r="H27" s="110"/>
      <c r="I27" s="7"/>
      <c r="J27" s="7"/>
      <c r="K27" s="7"/>
      <c r="L27" s="69"/>
      <c r="M27" s="12"/>
      <c r="N27" s="12"/>
      <c r="O27" s="2"/>
      <c r="P27" s="56"/>
      <c r="Q27" s="9"/>
      <c r="R27" s="10"/>
      <c r="S27" s="11"/>
      <c r="T27" s="12"/>
      <c r="U27" s="12"/>
      <c r="V27" s="12"/>
      <c r="W27" s="12"/>
      <c r="X27" s="2"/>
      <c r="Y27" s="2"/>
      <c r="Z27" s="2"/>
      <c r="AA27" s="2"/>
      <c r="AB27" s="59"/>
      <c r="AC27" s="62"/>
      <c r="AD27" s="2"/>
      <c r="AE27" s="2"/>
      <c r="AF27" s="2"/>
      <c r="AG27" s="2"/>
      <c r="AH27" s="2"/>
      <c r="AI27" s="12"/>
      <c r="AJ27" s="12"/>
      <c r="AK27" s="12"/>
      <c r="AL27" s="13"/>
      <c r="AM27" s="11"/>
      <c r="AN27" s="12"/>
      <c r="AO27" s="4"/>
      <c r="AP27" s="14"/>
      <c r="AQ27" s="2"/>
      <c r="AR27" s="15"/>
      <c r="AS27" s="16"/>
      <c r="AT27" s="15"/>
      <c r="AU27" s="17"/>
      <c r="AV27" s="18"/>
      <c r="AW27" s="18" t="str">
        <f t="shared" si="0"/>
        <v/>
      </c>
      <c r="AX27" s="18" t="str">
        <f t="shared" si="1"/>
        <v/>
      </c>
      <c r="AY27" s="18"/>
      <c r="AZ27" s="18"/>
      <c r="BA27" s="18"/>
      <c r="BB27" s="18"/>
      <c r="BC27" s="18" t="str">
        <f t="shared" si="2"/>
        <v/>
      </c>
      <c r="BD27" s="18" t="str">
        <f t="shared" si="3"/>
        <v/>
      </c>
      <c r="BE27" s="18"/>
      <c r="BF27" s="18" t="str">
        <f t="shared" si="4"/>
        <v/>
      </c>
      <c r="BG27" s="18" t="str">
        <f t="shared" si="5"/>
        <v/>
      </c>
      <c r="BH27" s="18"/>
    </row>
    <row r="28" spans="1:60" ht="8.25" customHeight="1">
      <c r="A28" s="1"/>
      <c r="B28" s="2"/>
      <c r="C28" s="3"/>
      <c r="D28" s="138"/>
      <c r="E28" s="4"/>
      <c r="F28" s="5"/>
      <c r="G28" s="6"/>
      <c r="H28" s="7"/>
      <c r="I28" s="7"/>
      <c r="J28" s="6"/>
      <c r="K28" s="7"/>
      <c r="L28" s="69"/>
      <c r="M28" s="12"/>
      <c r="N28" s="12"/>
      <c r="O28" s="2"/>
      <c r="P28" s="56"/>
      <c r="Q28" s="9"/>
      <c r="R28" s="10"/>
      <c r="S28" s="11"/>
      <c r="T28" s="12"/>
      <c r="U28" s="12"/>
      <c r="V28" s="12"/>
      <c r="W28" s="12"/>
      <c r="X28" s="2"/>
      <c r="Y28" s="2"/>
      <c r="Z28" s="2"/>
      <c r="AA28" s="2"/>
      <c r="AB28" s="59"/>
      <c r="AC28" s="62"/>
      <c r="AD28" s="2"/>
      <c r="AE28" s="2"/>
      <c r="AF28" s="2"/>
      <c r="AG28" s="2"/>
      <c r="AH28" s="2"/>
      <c r="AI28" s="12"/>
      <c r="AJ28" s="12"/>
      <c r="AK28" s="12"/>
      <c r="AL28" s="13"/>
      <c r="AM28" s="11"/>
      <c r="AN28" s="12"/>
      <c r="AO28" s="4"/>
      <c r="AP28" s="14"/>
      <c r="AQ28" s="2"/>
      <c r="AR28" s="15"/>
      <c r="AS28" s="16"/>
      <c r="AT28" s="15"/>
      <c r="AU28" s="17"/>
      <c r="AV28" s="18"/>
      <c r="AW28" s="18" t="str">
        <f t="shared" si="0"/>
        <v/>
      </c>
      <c r="AX28" s="18" t="str">
        <f t="shared" si="1"/>
        <v/>
      </c>
      <c r="AY28" s="18"/>
      <c r="AZ28" s="18"/>
      <c r="BA28" s="18"/>
      <c r="BB28" s="18"/>
      <c r="BC28" s="18" t="str">
        <f t="shared" si="2"/>
        <v/>
      </c>
      <c r="BD28" s="18" t="str">
        <f t="shared" si="3"/>
        <v/>
      </c>
      <c r="BE28" s="18"/>
      <c r="BF28" s="18" t="str">
        <f t="shared" si="4"/>
        <v/>
      </c>
      <c r="BG28" s="18" t="str">
        <f t="shared" si="5"/>
        <v/>
      </c>
      <c r="BH28" s="18"/>
    </row>
    <row r="29" spans="1:60" ht="8.25" customHeight="1">
      <c r="A29" s="1"/>
      <c r="B29" s="2"/>
      <c r="C29" s="3"/>
      <c r="D29" s="138"/>
      <c r="E29" s="4"/>
      <c r="F29" s="5"/>
      <c r="G29" s="6"/>
      <c r="H29" s="7"/>
      <c r="I29" s="7"/>
      <c r="J29" s="6"/>
      <c r="K29" s="7"/>
      <c r="L29" s="69"/>
      <c r="M29" s="12"/>
      <c r="N29" s="12"/>
      <c r="O29" s="2"/>
      <c r="P29" s="56"/>
      <c r="Q29" s="9"/>
      <c r="R29" s="10"/>
      <c r="S29" s="11"/>
      <c r="T29" s="12"/>
      <c r="U29" s="12"/>
      <c r="V29" s="12"/>
      <c r="W29" s="12"/>
      <c r="X29" s="2"/>
      <c r="Y29" s="2"/>
      <c r="Z29" s="2"/>
      <c r="AA29" s="2"/>
      <c r="AB29" s="59"/>
      <c r="AC29" s="62"/>
      <c r="AD29" s="2"/>
      <c r="AE29" s="2"/>
      <c r="AF29" s="2"/>
      <c r="AG29" s="2"/>
      <c r="AH29" s="2"/>
      <c r="AI29" s="12"/>
      <c r="AJ29" s="12"/>
      <c r="AK29" s="12"/>
      <c r="AL29" s="13"/>
      <c r="AM29" s="11"/>
      <c r="AN29" s="12"/>
      <c r="AO29" s="4"/>
      <c r="AP29" s="14"/>
      <c r="AQ29" s="2"/>
      <c r="AR29" s="15"/>
      <c r="AS29" s="16"/>
      <c r="AT29" s="15"/>
      <c r="AU29" s="17"/>
      <c r="AV29" s="18"/>
      <c r="AW29" s="18" t="str">
        <f t="shared" si="0"/>
        <v/>
      </c>
      <c r="AX29" s="18" t="str">
        <f t="shared" si="1"/>
        <v/>
      </c>
      <c r="AY29" s="18"/>
      <c r="AZ29" s="18"/>
      <c r="BA29" s="18"/>
      <c r="BB29" s="18"/>
      <c r="BC29" s="18" t="str">
        <f t="shared" si="2"/>
        <v/>
      </c>
      <c r="BD29" s="18" t="str">
        <f t="shared" si="3"/>
        <v/>
      </c>
      <c r="BE29" s="18"/>
      <c r="BF29" s="18" t="str">
        <f t="shared" si="4"/>
        <v/>
      </c>
      <c r="BG29" s="18" t="str">
        <f t="shared" si="5"/>
        <v/>
      </c>
      <c r="BH29" s="18"/>
    </row>
    <row r="30" spans="1:60" ht="8.25" customHeight="1">
      <c r="A30" s="1"/>
      <c r="B30" s="2"/>
      <c r="C30" s="3"/>
      <c r="D30" s="138"/>
      <c r="E30" s="4"/>
      <c r="F30" s="5"/>
      <c r="G30" s="6"/>
      <c r="H30" s="7"/>
      <c r="I30" s="7"/>
      <c r="J30" s="6"/>
      <c r="K30" s="7"/>
      <c r="L30" s="69"/>
      <c r="M30" s="12"/>
      <c r="N30" s="12"/>
      <c r="O30" s="2"/>
      <c r="P30" s="56"/>
      <c r="Q30" s="9"/>
      <c r="R30" s="10"/>
      <c r="S30" s="11"/>
      <c r="T30" s="12"/>
      <c r="U30" s="12"/>
      <c r="V30" s="12"/>
      <c r="W30" s="12"/>
      <c r="X30" s="2"/>
      <c r="Y30" s="2"/>
      <c r="Z30" s="2"/>
      <c r="AA30" s="2"/>
      <c r="AB30" s="59"/>
      <c r="AC30" s="62"/>
      <c r="AD30" s="2"/>
      <c r="AE30" s="2"/>
      <c r="AF30" s="2"/>
      <c r="AG30" s="2"/>
      <c r="AH30" s="2"/>
      <c r="AI30" s="12"/>
      <c r="AJ30" s="12"/>
      <c r="AK30" s="12"/>
      <c r="AL30" s="13"/>
      <c r="AM30" s="11"/>
      <c r="AN30" s="12"/>
      <c r="AO30" s="4"/>
      <c r="AP30" s="14"/>
      <c r="AQ30" s="2"/>
      <c r="AR30" s="15"/>
      <c r="AS30" s="16"/>
      <c r="AT30" s="15"/>
      <c r="AU30" s="17"/>
      <c r="AV30" s="18"/>
      <c r="AW30" s="18" t="str">
        <f t="shared" si="0"/>
        <v/>
      </c>
      <c r="AX30" s="18" t="str">
        <f t="shared" si="1"/>
        <v/>
      </c>
      <c r="AY30" s="18"/>
      <c r="AZ30" s="18"/>
      <c r="BA30" s="18"/>
      <c r="BB30" s="18"/>
      <c r="BC30" s="18" t="str">
        <f t="shared" si="2"/>
        <v/>
      </c>
      <c r="BD30" s="18" t="str">
        <f t="shared" si="3"/>
        <v/>
      </c>
      <c r="BE30" s="18"/>
      <c r="BF30" s="18" t="str">
        <f t="shared" si="4"/>
        <v/>
      </c>
      <c r="BG30" s="18" t="str">
        <f t="shared" si="5"/>
        <v/>
      </c>
      <c r="BH30" s="18"/>
    </row>
    <row r="31" spans="1:60" ht="8.25" customHeight="1">
      <c r="A31" s="1"/>
      <c r="B31" s="2"/>
      <c r="C31" s="3"/>
      <c r="D31" s="138"/>
      <c r="E31" s="4"/>
      <c r="F31" s="5"/>
      <c r="G31" s="6"/>
      <c r="H31" s="7"/>
      <c r="I31" s="7"/>
      <c r="J31" s="6"/>
      <c r="K31" s="7"/>
      <c r="L31" s="69"/>
      <c r="M31" s="12"/>
      <c r="N31" s="12"/>
      <c r="O31" s="2"/>
      <c r="P31" s="56"/>
      <c r="Q31" s="9"/>
      <c r="R31" s="10"/>
      <c r="S31" s="11"/>
      <c r="T31" s="12"/>
      <c r="U31" s="12"/>
      <c r="V31" s="12"/>
      <c r="W31" s="12"/>
      <c r="X31" s="2"/>
      <c r="Y31" s="2"/>
      <c r="Z31" s="2"/>
      <c r="AA31" s="2"/>
      <c r="AB31" s="59"/>
      <c r="AC31" s="62"/>
      <c r="AD31" s="2"/>
      <c r="AE31" s="2"/>
      <c r="AF31" s="2"/>
      <c r="AG31" s="2"/>
      <c r="AH31" s="2"/>
      <c r="AI31" s="12"/>
      <c r="AJ31" s="12"/>
      <c r="AK31" s="12"/>
      <c r="AL31" s="13"/>
      <c r="AM31" s="11"/>
      <c r="AN31" s="12"/>
      <c r="AO31" s="4"/>
      <c r="AP31" s="14"/>
      <c r="AQ31" s="2"/>
      <c r="AR31" s="15"/>
      <c r="AS31" s="16"/>
      <c r="AT31" s="15"/>
      <c r="AU31" s="17"/>
      <c r="AV31" s="18"/>
      <c r="AW31" s="18" t="str">
        <f t="shared" si="0"/>
        <v/>
      </c>
      <c r="AX31" s="18" t="str">
        <f t="shared" si="1"/>
        <v/>
      </c>
      <c r="AY31" s="18"/>
      <c r="AZ31" s="18"/>
      <c r="BA31" s="18"/>
      <c r="BB31" s="18"/>
      <c r="BC31" s="18" t="str">
        <f t="shared" si="2"/>
        <v/>
      </c>
      <c r="BD31" s="18" t="str">
        <f t="shared" si="3"/>
        <v/>
      </c>
      <c r="BE31" s="18"/>
      <c r="BF31" s="18" t="str">
        <f t="shared" si="4"/>
        <v/>
      </c>
      <c r="BG31" s="18" t="str">
        <f t="shared" si="5"/>
        <v/>
      </c>
      <c r="BH31" s="18"/>
    </row>
    <row r="32" spans="1:60" ht="8.25" customHeight="1">
      <c r="A32" s="1"/>
      <c r="B32" s="2"/>
      <c r="C32" s="3"/>
      <c r="D32" s="138"/>
      <c r="E32" s="4"/>
      <c r="F32" s="5"/>
      <c r="G32" s="6"/>
      <c r="H32" s="7"/>
      <c r="I32" s="7"/>
      <c r="J32" s="6"/>
      <c r="K32" s="7"/>
      <c r="L32" s="69"/>
      <c r="M32" s="12"/>
      <c r="N32" s="12"/>
      <c r="O32" s="2"/>
      <c r="P32" s="56"/>
      <c r="Q32" s="9"/>
      <c r="R32" s="10"/>
      <c r="S32" s="11"/>
      <c r="T32" s="12"/>
      <c r="U32" s="12"/>
      <c r="V32" s="12"/>
      <c r="W32" s="12"/>
      <c r="X32" s="2"/>
      <c r="Y32" s="2"/>
      <c r="Z32" s="2"/>
      <c r="AA32" s="2"/>
      <c r="AB32" s="59"/>
      <c r="AC32" s="62"/>
      <c r="AD32" s="2"/>
      <c r="AE32" s="2"/>
      <c r="AF32" s="2"/>
      <c r="AG32" s="2"/>
      <c r="AH32" s="2"/>
      <c r="AI32" s="12"/>
      <c r="AJ32" s="12"/>
      <c r="AK32" s="12"/>
      <c r="AL32" s="13"/>
      <c r="AM32" s="11"/>
      <c r="AN32" s="12"/>
      <c r="AO32" s="4"/>
      <c r="AP32" s="14"/>
      <c r="AQ32" s="2"/>
      <c r="AR32" s="15"/>
      <c r="AS32" s="16"/>
      <c r="AT32" s="15"/>
      <c r="AU32" s="17"/>
      <c r="AV32" s="18"/>
      <c r="AW32" s="18" t="str">
        <f t="shared" si="0"/>
        <v/>
      </c>
      <c r="AX32" s="18" t="str">
        <f t="shared" si="1"/>
        <v/>
      </c>
      <c r="AY32" s="18"/>
      <c r="AZ32" s="18"/>
      <c r="BA32" s="18"/>
      <c r="BB32" s="18"/>
      <c r="BC32" s="18" t="str">
        <f t="shared" si="2"/>
        <v/>
      </c>
      <c r="BD32" s="18" t="str">
        <f t="shared" si="3"/>
        <v/>
      </c>
      <c r="BE32" s="18"/>
      <c r="BF32" s="18" t="str">
        <f t="shared" si="4"/>
        <v/>
      </c>
      <c r="BG32" s="18" t="str">
        <f t="shared" si="5"/>
        <v/>
      </c>
      <c r="BH32" s="18"/>
    </row>
    <row r="33" spans="1:60" ht="8.25" customHeight="1">
      <c r="A33" s="1"/>
      <c r="B33" s="2"/>
      <c r="C33" s="3"/>
      <c r="D33" s="138"/>
      <c r="E33" s="4"/>
      <c r="F33" s="5"/>
      <c r="G33" s="6"/>
      <c r="H33" s="7"/>
      <c r="I33" s="7"/>
      <c r="J33" s="6"/>
      <c r="K33" s="7"/>
      <c r="L33" s="69"/>
      <c r="M33" s="12"/>
      <c r="N33" s="12"/>
      <c r="O33" s="2"/>
      <c r="P33" s="56"/>
      <c r="Q33" s="9"/>
      <c r="R33" s="10"/>
      <c r="S33" s="11"/>
      <c r="T33" s="12"/>
      <c r="U33" s="12"/>
      <c r="V33" s="12"/>
      <c r="W33" s="12"/>
      <c r="X33" s="2"/>
      <c r="Y33" s="2"/>
      <c r="Z33" s="2"/>
      <c r="AA33" s="2"/>
      <c r="AB33" s="59"/>
      <c r="AC33" s="62"/>
      <c r="AD33" s="2"/>
      <c r="AE33" s="2"/>
      <c r="AF33" s="2"/>
      <c r="AG33" s="2"/>
      <c r="AH33" s="2"/>
      <c r="AI33" s="12"/>
      <c r="AJ33" s="12"/>
      <c r="AK33" s="12"/>
      <c r="AL33" s="13"/>
      <c r="AM33" s="11"/>
      <c r="AN33" s="12"/>
      <c r="AO33" s="4"/>
      <c r="AP33" s="14"/>
      <c r="AQ33" s="2"/>
      <c r="AR33" s="15"/>
      <c r="AS33" s="16"/>
      <c r="AT33" s="15"/>
      <c r="AU33" s="17"/>
      <c r="AV33" s="18"/>
      <c r="AW33" s="18" t="str">
        <f t="shared" si="0"/>
        <v/>
      </c>
      <c r="AX33" s="18" t="str">
        <f t="shared" si="1"/>
        <v/>
      </c>
      <c r="AY33" s="18"/>
      <c r="AZ33" s="18"/>
      <c r="BA33" s="18"/>
      <c r="BB33" s="18"/>
      <c r="BC33" s="18" t="str">
        <f t="shared" si="2"/>
        <v/>
      </c>
      <c r="BD33" s="18" t="str">
        <f t="shared" si="3"/>
        <v/>
      </c>
      <c r="BE33" s="18"/>
      <c r="BF33" s="18" t="str">
        <f t="shared" si="4"/>
        <v/>
      </c>
      <c r="BG33" s="18" t="str">
        <f t="shared" si="5"/>
        <v/>
      </c>
      <c r="BH33" s="18"/>
    </row>
    <row r="34" spans="1:60" ht="8.25" customHeight="1">
      <c r="A34" s="1"/>
      <c r="B34" s="2"/>
      <c r="C34" s="3"/>
      <c r="D34" s="138"/>
      <c r="E34" s="4"/>
      <c r="F34" s="5"/>
      <c r="G34" s="6"/>
      <c r="H34" s="7"/>
      <c r="I34" s="7"/>
      <c r="J34" s="6"/>
      <c r="K34" s="7"/>
      <c r="L34" s="69"/>
      <c r="M34" s="12"/>
      <c r="N34" s="12"/>
      <c r="O34" s="2"/>
      <c r="P34" s="56"/>
      <c r="Q34" s="9"/>
      <c r="R34" s="10"/>
      <c r="S34" s="11"/>
      <c r="T34" s="12"/>
      <c r="U34" s="12"/>
      <c r="V34" s="12"/>
      <c r="W34" s="12"/>
      <c r="X34" s="2"/>
      <c r="Y34" s="2"/>
      <c r="Z34" s="2"/>
      <c r="AA34" s="2"/>
      <c r="AB34" s="59"/>
      <c r="AC34" s="62"/>
      <c r="AD34" s="2"/>
      <c r="AE34" s="2"/>
      <c r="AF34" s="2"/>
      <c r="AG34" s="2"/>
      <c r="AH34" s="2"/>
      <c r="AI34" s="12"/>
      <c r="AJ34" s="12"/>
      <c r="AK34" s="12"/>
      <c r="AL34" s="13"/>
      <c r="AM34" s="11"/>
      <c r="AN34" s="12"/>
      <c r="AO34" s="4"/>
      <c r="AP34" s="14"/>
      <c r="AQ34" s="2"/>
      <c r="AR34" s="15"/>
      <c r="AS34" s="16"/>
      <c r="AT34" s="15"/>
      <c r="AU34" s="17"/>
      <c r="AV34" s="18"/>
      <c r="AW34" s="18" t="str">
        <f t="shared" si="0"/>
        <v/>
      </c>
      <c r="AX34" s="18" t="str">
        <f t="shared" si="1"/>
        <v/>
      </c>
      <c r="AY34" s="18"/>
      <c r="AZ34" s="18"/>
      <c r="BA34" s="18"/>
      <c r="BB34" s="18"/>
      <c r="BC34" s="18" t="str">
        <f t="shared" si="2"/>
        <v/>
      </c>
      <c r="BD34" s="18" t="str">
        <f t="shared" si="3"/>
        <v/>
      </c>
      <c r="BE34" s="18"/>
      <c r="BF34" s="18" t="str">
        <f t="shared" si="4"/>
        <v/>
      </c>
      <c r="BG34" s="18" t="str">
        <f t="shared" si="5"/>
        <v/>
      </c>
      <c r="BH34" s="18"/>
    </row>
    <row r="35" spans="1:60" ht="8.25" customHeight="1">
      <c r="A35" s="1"/>
      <c r="B35" s="2"/>
      <c r="C35" s="3"/>
      <c r="D35" s="138"/>
      <c r="E35" s="4"/>
      <c r="F35" s="5"/>
      <c r="G35" s="6"/>
      <c r="H35" s="7"/>
      <c r="I35" s="7"/>
      <c r="J35" s="6"/>
      <c r="K35" s="7"/>
      <c r="L35" s="69"/>
      <c r="M35" s="12"/>
      <c r="N35" s="12"/>
      <c r="O35" s="2"/>
      <c r="P35" s="56"/>
      <c r="Q35" s="9"/>
      <c r="R35" s="10"/>
      <c r="S35" s="11"/>
      <c r="T35" s="12"/>
      <c r="U35" s="12"/>
      <c r="V35" s="12"/>
      <c r="W35" s="12"/>
      <c r="X35" s="2"/>
      <c r="Y35" s="2"/>
      <c r="Z35" s="2"/>
      <c r="AA35" s="2"/>
      <c r="AB35" s="59"/>
      <c r="AC35" s="62"/>
      <c r="AD35" s="2"/>
      <c r="AE35" s="2"/>
      <c r="AF35" s="2"/>
      <c r="AG35" s="2"/>
      <c r="AH35" s="2"/>
      <c r="AI35" s="12"/>
      <c r="AJ35" s="12"/>
      <c r="AK35" s="12"/>
      <c r="AL35" s="13"/>
      <c r="AM35" s="11"/>
      <c r="AN35" s="12"/>
      <c r="AO35" s="4"/>
      <c r="AP35" s="14"/>
      <c r="AQ35" s="2"/>
      <c r="AR35" s="15"/>
      <c r="AS35" s="16"/>
      <c r="AT35" s="15"/>
      <c r="AU35" s="17"/>
      <c r="AV35" s="18"/>
      <c r="AW35" s="18" t="str">
        <f t="shared" si="0"/>
        <v/>
      </c>
      <c r="AX35" s="18" t="str">
        <f t="shared" si="1"/>
        <v/>
      </c>
      <c r="AY35" s="18"/>
      <c r="AZ35" s="18"/>
      <c r="BA35" s="18"/>
      <c r="BB35" s="18"/>
      <c r="BC35" s="18" t="str">
        <f t="shared" si="2"/>
        <v/>
      </c>
      <c r="BD35" s="18" t="str">
        <f t="shared" si="3"/>
        <v/>
      </c>
      <c r="BE35" s="18"/>
      <c r="BF35" s="18" t="str">
        <f t="shared" si="4"/>
        <v/>
      </c>
      <c r="BG35" s="18" t="str">
        <f t="shared" si="5"/>
        <v/>
      </c>
      <c r="BH35" s="18"/>
    </row>
    <row r="36" spans="1:60" ht="8.25" customHeight="1">
      <c r="A36" s="1"/>
      <c r="B36" s="2"/>
      <c r="C36" s="3"/>
      <c r="D36" s="138"/>
      <c r="E36" s="4"/>
      <c r="F36" s="5"/>
      <c r="G36" s="6"/>
      <c r="H36" s="7"/>
      <c r="I36" s="7"/>
      <c r="J36" s="6"/>
      <c r="K36" s="7"/>
      <c r="L36" s="69"/>
      <c r="M36" s="12"/>
      <c r="N36" s="12"/>
      <c r="O36" s="2"/>
      <c r="P36" s="56"/>
      <c r="Q36" s="9"/>
      <c r="R36" s="10"/>
      <c r="S36" s="11"/>
      <c r="T36" s="12"/>
      <c r="U36" s="12"/>
      <c r="V36" s="12"/>
      <c r="W36" s="12"/>
      <c r="X36" s="2"/>
      <c r="Y36" s="2"/>
      <c r="Z36" s="2"/>
      <c r="AA36" s="2"/>
      <c r="AB36" s="59"/>
      <c r="AC36" s="62"/>
      <c r="AD36" s="2"/>
      <c r="AE36" s="2"/>
      <c r="AF36" s="2"/>
      <c r="AG36" s="2"/>
      <c r="AH36" s="2"/>
      <c r="AI36" s="12"/>
      <c r="AJ36" s="12"/>
      <c r="AK36" s="12"/>
      <c r="AL36" s="13"/>
      <c r="AM36" s="11"/>
      <c r="AN36" s="12"/>
      <c r="AO36" s="4"/>
      <c r="AP36" s="14"/>
      <c r="AQ36" s="2"/>
      <c r="AR36" s="15"/>
      <c r="AS36" s="16"/>
      <c r="AT36" s="15"/>
      <c r="AU36" s="17"/>
      <c r="AV36" s="18"/>
      <c r="AW36" s="18" t="str">
        <f t="shared" si="0"/>
        <v/>
      </c>
      <c r="AX36" s="18" t="str">
        <f t="shared" si="1"/>
        <v/>
      </c>
      <c r="AY36" s="18"/>
      <c r="AZ36" s="18"/>
      <c r="BA36" s="18"/>
      <c r="BB36" s="18"/>
      <c r="BC36" s="18" t="str">
        <f t="shared" si="2"/>
        <v/>
      </c>
      <c r="BD36" s="18" t="str">
        <f t="shared" si="3"/>
        <v/>
      </c>
      <c r="BE36" s="18"/>
      <c r="BF36" s="18" t="str">
        <f t="shared" si="4"/>
        <v/>
      </c>
      <c r="BG36" s="18" t="str">
        <f t="shared" si="5"/>
        <v/>
      </c>
      <c r="BH36" s="18"/>
    </row>
    <row r="37" spans="1:60" ht="8.25" customHeight="1">
      <c r="A37" s="1"/>
      <c r="B37" s="2"/>
      <c r="C37" s="3"/>
      <c r="D37" s="138"/>
      <c r="E37" s="4"/>
      <c r="F37" s="5"/>
      <c r="G37" s="6"/>
      <c r="H37" s="7"/>
      <c r="I37" s="7"/>
      <c r="J37" s="6"/>
      <c r="K37" s="7"/>
      <c r="L37" s="69"/>
      <c r="M37" s="12"/>
      <c r="N37" s="12"/>
      <c r="O37" s="2"/>
      <c r="P37" s="56"/>
      <c r="Q37" s="9"/>
      <c r="R37" s="10"/>
      <c r="S37" s="11"/>
      <c r="T37" s="12"/>
      <c r="U37" s="12"/>
      <c r="V37" s="12"/>
      <c r="W37" s="12"/>
      <c r="X37" s="2"/>
      <c r="Y37" s="2"/>
      <c r="Z37" s="2"/>
      <c r="AA37" s="2"/>
      <c r="AB37" s="59"/>
      <c r="AC37" s="62"/>
      <c r="AD37" s="2"/>
      <c r="AE37" s="2"/>
      <c r="AF37" s="2"/>
      <c r="AG37" s="2"/>
      <c r="AH37" s="2"/>
      <c r="AI37" s="12"/>
      <c r="AJ37" s="12"/>
      <c r="AK37" s="12"/>
      <c r="AL37" s="13"/>
      <c r="AM37" s="11"/>
      <c r="AN37" s="12"/>
      <c r="AO37" s="4"/>
      <c r="AP37" s="14"/>
      <c r="AQ37" s="2"/>
      <c r="AR37" s="15"/>
      <c r="AS37" s="16"/>
      <c r="AT37" s="15"/>
      <c r="AU37" s="17"/>
      <c r="AV37" s="18"/>
      <c r="AW37" s="18" t="str">
        <f t="shared" si="0"/>
        <v/>
      </c>
      <c r="AX37" s="18" t="str">
        <f t="shared" si="1"/>
        <v/>
      </c>
      <c r="AY37" s="18"/>
      <c r="AZ37" s="18"/>
      <c r="BA37" s="18"/>
      <c r="BB37" s="18"/>
      <c r="BC37" s="18" t="str">
        <f t="shared" si="2"/>
        <v/>
      </c>
      <c r="BD37" s="18" t="str">
        <f t="shared" si="3"/>
        <v/>
      </c>
      <c r="BE37" s="18"/>
      <c r="BF37" s="18" t="str">
        <f t="shared" si="4"/>
        <v/>
      </c>
      <c r="BG37" s="18" t="str">
        <f t="shared" si="5"/>
        <v/>
      </c>
      <c r="BH37" s="18"/>
    </row>
    <row r="38" spans="1:60" ht="8.25" customHeight="1">
      <c r="A38" s="1"/>
      <c r="B38" s="2"/>
      <c r="C38" s="3"/>
      <c r="D38" s="138"/>
      <c r="E38" s="4"/>
      <c r="F38" s="5"/>
      <c r="G38" s="6"/>
      <c r="H38" s="7"/>
      <c r="I38" s="7"/>
      <c r="J38" s="6"/>
      <c r="K38" s="7"/>
      <c r="L38" s="69"/>
      <c r="M38" s="12"/>
      <c r="N38" s="12"/>
      <c r="O38" s="2"/>
      <c r="P38" s="56"/>
      <c r="Q38" s="9"/>
      <c r="R38" s="10"/>
      <c r="S38" s="11"/>
      <c r="T38" s="12"/>
      <c r="U38" s="12"/>
      <c r="V38" s="12"/>
      <c r="W38" s="12"/>
      <c r="X38" s="2"/>
      <c r="Y38" s="2"/>
      <c r="Z38" s="2"/>
      <c r="AA38" s="2"/>
      <c r="AB38" s="59"/>
      <c r="AC38" s="62"/>
      <c r="AD38" s="2"/>
      <c r="AE38" s="2"/>
      <c r="AF38" s="2"/>
      <c r="AG38" s="2"/>
      <c r="AH38" s="2"/>
      <c r="AI38" s="12"/>
      <c r="AJ38" s="12"/>
      <c r="AK38" s="12"/>
      <c r="AL38" s="13"/>
      <c r="AM38" s="11"/>
      <c r="AN38" s="12"/>
      <c r="AO38" s="4"/>
      <c r="AP38" s="14"/>
      <c r="AQ38" s="2"/>
      <c r="AR38" s="15"/>
      <c r="AS38" s="16"/>
      <c r="AT38" s="15"/>
      <c r="AU38" s="17"/>
      <c r="AV38" s="18"/>
      <c r="AW38" s="18" t="str">
        <f t="shared" si="0"/>
        <v/>
      </c>
      <c r="AX38" s="18" t="str">
        <f t="shared" si="1"/>
        <v/>
      </c>
      <c r="AY38" s="18"/>
      <c r="AZ38" s="18"/>
      <c r="BA38" s="18"/>
      <c r="BB38" s="18"/>
      <c r="BC38" s="18" t="str">
        <f t="shared" si="2"/>
        <v/>
      </c>
      <c r="BD38" s="18" t="str">
        <f t="shared" si="3"/>
        <v/>
      </c>
      <c r="BE38" s="18"/>
      <c r="BF38" s="18" t="str">
        <f t="shared" si="4"/>
        <v/>
      </c>
      <c r="BG38" s="18" t="str">
        <f t="shared" si="5"/>
        <v/>
      </c>
      <c r="BH38" s="18"/>
    </row>
    <row r="39" spans="1:60" ht="8.25" customHeight="1">
      <c r="A39" s="1"/>
      <c r="B39" s="2"/>
      <c r="C39" s="3"/>
      <c r="D39" s="138"/>
      <c r="E39" s="4"/>
      <c r="F39" s="5"/>
      <c r="G39" s="6"/>
      <c r="H39" s="7"/>
      <c r="I39" s="7"/>
      <c r="J39" s="6"/>
      <c r="K39" s="7"/>
      <c r="L39" s="69"/>
      <c r="M39" s="12"/>
      <c r="N39" s="12"/>
      <c r="O39" s="2"/>
      <c r="P39" s="56"/>
      <c r="Q39" s="9"/>
      <c r="R39" s="10"/>
      <c r="S39" s="11"/>
      <c r="T39" s="12"/>
      <c r="U39" s="12"/>
      <c r="V39" s="12"/>
      <c r="W39" s="12"/>
      <c r="X39" s="2"/>
      <c r="Y39" s="2"/>
      <c r="Z39" s="2"/>
      <c r="AA39" s="2"/>
      <c r="AB39" s="59"/>
      <c r="AC39" s="62"/>
      <c r="AD39" s="2"/>
      <c r="AE39" s="2"/>
      <c r="AF39" s="2"/>
      <c r="AG39" s="2"/>
      <c r="AH39" s="2"/>
      <c r="AI39" s="12"/>
      <c r="AJ39" s="12"/>
      <c r="AK39" s="12"/>
      <c r="AL39" s="13"/>
      <c r="AM39" s="11"/>
      <c r="AN39" s="12"/>
      <c r="AO39" s="4"/>
      <c r="AP39" s="14"/>
      <c r="AQ39" s="2"/>
      <c r="AR39" s="15"/>
      <c r="AS39" s="16"/>
      <c r="AT39" s="15"/>
      <c r="AU39" s="17"/>
      <c r="AV39" s="18"/>
      <c r="AW39" s="18" t="str">
        <f t="shared" si="0"/>
        <v/>
      </c>
      <c r="AX39" s="18" t="str">
        <f t="shared" si="1"/>
        <v/>
      </c>
      <c r="AY39" s="18"/>
      <c r="AZ39" s="18"/>
      <c r="BA39" s="18"/>
      <c r="BB39" s="18"/>
      <c r="BC39" s="18" t="str">
        <f t="shared" si="2"/>
        <v/>
      </c>
      <c r="BD39" s="18" t="str">
        <f t="shared" si="3"/>
        <v/>
      </c>
      <c r="BE39" s="18"/>
      <c r="BF39" s="18" t="str">
        <f t="shared" si="4"/>
        <v/>
      </c>
      <c r="BG39" s="18" t="str">
        <f t="shared" si="5"/>
        <v/>
      </c>
      <c r="BH39" s="18"/>
    </row>
    <row r="40" spans="1:60" ht="8.25" customHeight="1">
      <c r="A40" s="1"/>
      <c r="B40" s="2"/>
      <c r="C40" s="3"/>
      <c r="D40" s="138"/>
      <c r="E40" s="4"/>
      <c r="F40" s="5"/>
      <c r="G40" s="6"/>
      <c r="H40" s="7"/>
      <c r="I40" s="7"/>
      <c r="J40" s="6"/>
      <c r="K40" s="7"/>
      <c r="L40" s="69"/>
      <c r="M40" s="12"/>
      <c r="N40" s="12"/>
      <c r="O40" s="2"/>
      <c r="P40" s="56"/>
      <c r="Q40" s="9"/>
      <c r="R40" s="10"/>
      <c r="S40" s="11"/>
      <c r="T40" s="12"/>
      <c r="U40" s="12"/>
      <c r="V40" s="12"/>
      <c r="W40" s="12"/>
      <c r="X40" s="2"/>
      <c r="Y40" s="2"/>
      <c r="Z40" s="2"/>
      <c r="AA40" s="2"/>
      <c r="AB40" s="59"/>
      <c r="AC40" s="62"/>
      <c r="AD40" s="2"/>
      <c r="AE40" s="2"/>
      <c r="AF40" s="2"/>
      <c r="AG40" s="2"/>
      <c r="AH40" s="2"/>
      <c r="AI40" s="12"/>
      <c r="AJ40" s="12"/>
      <c r="AK40" s="12"/>
      <c r="AL40" s="13"/>
      <c r="AM40" s="11"/>
      <c r="AN40" s="12"/>
      <c r="AO40" s="4"/>
      <c r="AP40" s="14"/>
      <c r="AQ40" s="2"/>
      <c r="AR40" s="15"/>
      <c r="AS40" s="16"/>
      <c r="AT40" s="15"/>
      <c r="AU40" s="17"/>
      <c r="AV40" s="18"/>
      <c r="AW40" s="18" t="str">
        <f t="shared" si="0"/>
        <v/>
      </c>
      <c r="AX40" s="18" t="str">
        <f t="shared" si="1"/>
        <v/>
      </c>
      <c r="AY40" s="18"/>
      <c r="AZ40" s="18"/>
      <c r="BA40" s="18"/>
      <c r="BB40" s="18"/>
      <c r="BC40" s="18" t="str">
        <f t="shared" si="2"/>
        <v/>
      </c>
      <c r="BD40" s="18" t="str">
        <f t="shared" si="3"/>
        <v/>
      </c>
      <c r="BE40" s="18"/>
      <c r="BF40" s="18" t="str">
        <f t="shared" si="4"/>
        <v/>
      </c>
      <c r="BG40" s="18" t="str">
        <f t="shared" si="5"/>
        <v/>
      </c>
      <c r="BH40" s="18"/>
    </row>
    <row r="41" spans="1:60" ht="8.25" customHeight="1">
      <c r="A41" s="1"/>
      <c r="B41" s="2"/>
      <c r="C41" s="3"/>
      <c r="D41" s="138"/>
      <c r="E41" s="4"/>
      <c r="F41" s="5"/>
      <c r="G41" s="6"/>
      <c r="H41" s="7"/>
      <c r="I41" s="7"/>
      <c r="J41" s="6"/>
      <c r="K41" s="7"/>
      <c r="L41" s="69"/>
      <c r="M41" s="12"/>
      <c r="N41" s="12"/>
      <c r="O41" s="2"/>
      <c r="P41" s="56"/>
      <c r="Q41" s="9"/>
      <c r="R41" s="10"/>
      <c r="S41" s="11"/>
      <c r="T41" s="12"/>
      <c r="U41" s="12"/>
      <c r="V41" s="12"/>
      <c r="W41" s="12"/>
      <c r="X41" s="2"/>
      <c r="Y41" s="2"/>
      <c r="Z41" s="2"/>
      <c r="AA41" s="2"/>
      <c r="AB41" s="59"/>
      <c r="AC41" s="62"/>
      <c r="AD41" s="2"/>
      <c r="AE41" s="2"/>
      <c r="AF41" s="2"/>
      <c r="AG41" s="2"/>
      <c r="AH41" s="2"/>
      <c r="AI41" s="12"/>
      <c r="AJ41" s="12"/>
      <c r="AK41" s="12"/>
      <c r="AL41" s="13"/>
      <c r="AM41" s="11"/>
      <c r="AN41" s="12"/>
      <c r="AO41" s="4"/>
      <c r="AP41" s="14"/>
      <c r="AQ41" s="2"/>
      <c r="AR41" s="15"/>
      <c r="AS41" s="16"/>
      <c r="AT41" s="15"/>
      <c r="AU41" s="17"/>
      <c r="AV41" s="18"/>
      <c r="AW41" s="18" t="str">
        <f t="shared" si="0"/>
        <v/>
      </c>
      <c r="AX41" s="18" t="str">
        <f t="shared" si="1"/>
        <v/>
      </c>
      <c r="AY41" s="18"/>
      <c r="AZ41" s="18"/>
      <c r="BA41" s="18"/>
      <c r="BB41" s="18"/>
      <c r="BC41" s="18" t="str">
        <f t="shared" si="2"/>
        <v/>
      </c>
      <c r="BD41" s="18" t="str">
        <f t="shared" si="3"/>
        <v/>
      </c>
      <c r="BE41" s="18"/>
      <c r="BF41" s="18" t="str">
        <f t="shared" si="4"/>
        <v/>
      </c>
      <c r="BG41" s="18" t="str">
        <f t="shared" si="5"/>
        <v/>
      </c>
      <c r="BH41" s="18"/>
    </row>
    <row r="42" spans="1:60" ht="8.25" customHeight="1">
      <c r="A42" s="1"/>
      <c r="B42" s="2"/>
      <c r="C42" s="3"/>
      <c r="D42" s="138"/>
      <c r="E42" s="4"/>
      <c r="F42" s="5"/>
      <c r="G42" s="6"/>
      <c r="H42" s="7"/>
      <c r="I42" s="7"/>
      <c r="J42" s="6"/>
      <c r="K42" s="7"/>
      <c r="L42" s="69"/>
      <c r="M42" s="12"/>
      <c r="N42" s="12"/>
      <c r="O42" s="2"/>
      <c r="P42" s="56"/>
      <c r="Q42" s="9"/>
      <c r="R42" s="10"/>
      <c r="S42" s="11"/>
      <c r="T42" s="12"/>
      <c r="U42" s="12"/>
      <c r="V42" s="12"/>
      <c r="W42" s="12"/>
      <c r="X42" s="2"/>
      <c r="Y42" s="2"/>
      <c r="Z42" s="2"/>
      <c r="AA42" s="2"/>
      <c r="AB42" s="59"/>
      <c r="AC42" s="62"/>
      <c r="AD42" s="2"/>
      <c r="AE42" s="2"/>
      <c r="AF42" s="2"/>
      <c r="AG42" s="2"/>
      <c r="AH42" s="2"/>
      <c r="AI42" s="12"/>
      <c r="AJ42" s="12"/>
      <c r="AK42" s="12"/>
      <c r="AL42" s="13"/>
      <c r="AM42" s="11"/>
      <c r="AN42" s="12"/>
      <c r="AO42" s="4"/>
      <c r="AP42" s="14"/>
      <c r="AQ42" s="2"/>
      <c r="AR42" s="15"/>
      <c r="AS42" s="16"/>
      <c r="AT42" s="15"/>
      <c r="AU42" s="17"/>
      <c r="AV42" s="18"/>
      <c r="AW42" s="18" t="str">
        <f t="shared" si="0"/>
        <v/>
      </c>
      <c r="AX42" s="18" t="str">
        <f t="shared" si="1"/>
        <v/>
      </c>
      <c r="AY42" s="18"/>
      <c r="AZ42" s="18"/>
      <c r="BA42" s="18"/>
      <c r="BB42" s="18"/>
      <c r="BC42" s="18" t="str">
        <f t="shared" si="2"/>
        <v/>
      </c>
      <c r="BD42" s="18" t="str">
        <f t="shared" si="3"/>
        <v/>
      </c>
      <c r="BE42" s="18"/>
      <c r="BF42" s="18" t="str">
        <f t="shared" si="4"/>
        <v/>
      </c>
      <c r="BG42" s="18" t="str">
        <f t="shared" si="5"/>
        <v/>
      </c>
      <c r="BH42" s="18"/>
    </row>
    <row r="43" spans="1:60" ht="8.25" customHeight="1">
      <c r="A43" s="1"/>
      <c r="B43" s="2"/>
      <c r="C43" s="3"/>
      <c r="D43" s="138"/>
      <c r="E43" s="4"/>
      <c r="F43" s="5"/>
      <c r="G43" s="6"/>
      <c r="H43" s="7"/>
      <c r="I43" s="7"/>
      <c r="J43" s="6"/>
      <c r="K43" s="7"/>
      <c r="L43" s="69"/>
      <c r="M43" s="12"/>
      <c r="N43" s="12"/>
      <c r="O43" s="2"/>
      <c r="P43" s="56"/>
      <c r="Q43" s="9"/>
      <c r="R43" s="10"/>
      <c r="S43" s="11"/>
      <c r="T43" s="12"/>
      <c r="U43" s="12"/>
      <c r="V43" s="12"/>
      <c r="W43" s="12"/>
      <c r="X43" s="2"/>
      <c r="Y43" s="2"/>
      <c r="Z43" s="2"/>
      <c r="AA43" s="2"/>
      <c r="AB43" s="59"/>
      <c r="AC43" s="62"/>
      <c r="AD43" s="2"/>
      <c r="AE43" s="2"/>
      <c r="AF43" s="2"/>
      <c r="AG43" s="2"/>
      <c r="AH43" s="2"/>
      <c r="AI43" s="12"/>
      <c r="AJ43" s="12"/>
      <c r="AK43" s="12"/>
      <c r="AL43" s="13"/>
      <c r="AM43" s="11"/>
      <c r="AN43" s="12"/>
      <c r="AO43" s="4"/>
      <c r="AP43" s="14"/>
      <c r="AQ43" s="2"/>
      <c r="AR43" s="15"/>
      <c r="AS43" s="16"/>
      <c r="AT43" s="15"/>
      <c r="AU43" s="17"/>
      <c r="AV43" s="18"/>
      <c r="AW43" s="18" t="str">
        <f t="shared" si="0"/>
        <v/>
      </c>
      <c r="AX43" s="18" t="str">
        <f t="shared" si="1"/>
        <v/>
      </c>
      <c r="AY43" s="18"/>
      <c r="AZ43" s="18"/>
      <c r="BA43" s="18"/>
      <c r="BB43" s="18"/>
      <c r="BC43" s="18" t="str">
        <f t="shared" si="2"/>
        <v/>
      </c>
      <c r="BD43" s="18" t="str">
        <f t="shared" si="3"/>
        <v/>
      </c>
      <c r="BE43" s="18"/>
      <c r="BF43" s="18" t="str">
        <f t="shared" si="4"/>
        <v/>
      </c>
      <c r="BG43" s="18" t="str">
        <f t="shared" si="5"/>
        <v/>
      </c>
      <c r="BH43" s="18"/>
    </row>
    <row r="44" spans="1:60" ht="8.25" customHeight="1">
      <c r="A44" s="1"/>
      <c r="B44" s="2"/>
      <c r="C44" s="3"/>
      <c r="D44" s="138"/>
      <c r="E44" s="4"/>
      <c r="F44" s="5"/>
      <c r="G44" s="6"/>
      <c r="H44" s="7"/>
      <c r="I44" s="7"/>
      <c r="J44" s="6"/>
      <c r="K44" s="7"/>
      <c r="L44" s="69"/>
      <c r="M44" s="12"/>
      <c r="N44" s="12"/>
      <c r="O44" s="2"/>
      <c r="P44" s="56"/>
      <c r="Q44" s="9"/>
      <c r="R44" s="10"/>
      <c r="S44" s="11"/>
      <c r="T44" s="12"/>
      <c r="U44" s="12"/>
      <c r="V44" s="12"/>
      <c r="W44" s="12"/>
      <c r="X44" s="2"/>
      <c r="Y44" s="2"/>
      <c r="Z44" s="2"/>
      <c r="AA44" s="2"/>
      <c r="AB44" s="59"/>
      <c r="AC44" s="62"/>
      <c r="AD44" s="2"/>
      <c r="AE44" s="2"/>
      <c r="AF44" s="2"/>
      <c r="AG44" s="2"/>
      <c r="AH44" s="2"/>
      <c r="AI44" s="12"/>
      <c r="AJ44" s="12"/>
      <c r="AK44" s="12"/>
      <c r="AL44" s="13"/>
      <c r="AM44" s="11"/>
      <c r="AN44" s="12"/>
      <c r="AO44" s="4"/>
      <c r="AP44" s="14"/>
      <c r="AQ44" s="2"/>
      <c r="AR44" s="15"/>
      <c r="AS44" s="16"/>
      <c r="AT44" s="15"/>
      <c r="AU44" s="17"/>
      <c r="AV44" s="18"/>
      <c r="AW44" s="18" t="str">
        <f t="shared" si="0"/>
        <v/>
      </c>
      <c r="AX44" s="18" t="str">
        <f t="shared" si="1"/>
        <v/>
      </c>
      <c r="AY44" s="18"/>
      <c r="AZ44" s="18"/>
      <c r="BA44" s="18"/>
      <c r="BB44" s="18"/>
      <c r="BC44" s="18" t="str">
        <f t="shared" si="2"/>
        <v/>
      </c>
      <c r="BD44" s="18" t="str">
        <f t="shared" si="3"/>
        <v/>
      </c>
      <c r="BE44" s="18"/>
      <c r="BF44" s="18" t="str">
        <f t="shared" si="4"/>
        <v/>
      </c>
      <c r="BG44" s="18" t="str">
        <f t="shared" si="5"/>
        <v/>
      </c>
      <c r="BH44" s="18"/>
    </row>
    <row r="45" spans="1:60" ht="8.25" customHeight="1">
      <c r="A45" s="1"/>
      <c r="B45" s="2"/>
      <c r="C45" s="3"/>
      <c r="D45" s="138"/>
      <c r="E45" s="4"/>
      <c r="F45" s="5"/>
      <c r="G45" s="6"/>
      <c r="H45" s="7"/>
      <c r="I45" s="7"/>
      <c r="J45" s="6"/>
      <c r="K45" s="7"/>
      <c r="L45" s="69"/>
      <c r="M45" s="12"/>
      <c r="N45" s="12"/>
      <c r="O45" s="2"/>
      <c r="P45" s="56"/>
      <c r="Q45" s="9"/>
      <c r="R45" s="10"/>
      <c r="S45" s="11"/>
      <c r="T45" s="12"/>
      <c r="U45" s="12"/>
      <c r="V45" s="12"/>
      <c r="W45" s="12"/>
      <c r="X45" s="2"/>
      <c r="Y45" s="2"/>
      <c r="Z45" s="2"/>
      <c r="AA45" s="2"/>
      <c r="AB45" s="59"/>
      <c r="AC45" s="62"/>
      <c r="AD45" s="2"/>
      <c r="AE45" s="2"/>
      <c r="AF45" s="2"/>
      <c r="AG45" s="2"/>
      <c r="AH45" s="2"/>
      <c r="AI45" s="12"/>
      <c r="AJ45" s="12"/>
      <c r="AK45" s="12"/>
      <c r="AL45" s="13"/>
      <c r="AM45" s="11"/>
      <c r="AN45" s="12"/>
      <c r="AO45" s="4"/>
      <c r="AP45" s="14"/>
      <c r="AQ45" s="2"/>
      <c r="AR45" s="15"/>
      <c r="AS45" s="16"/>
      <c r="AT45" s="15"/>
      <c r="AU45" s="17"/>
      <c r="AV45" s="18"/>
      <c r="AW45" s="18" t="str">
        <f t="shared" si="0"/>
        <v/>
      </c>
      <c r="AX45" s="18" t="str">
        <f t="shared" si="1"/>
        <v/>
      </c>
      <c r="AY45" s="18"/>
      <c r="AZ45" s="18"/>
      <c r="BA45" s="18"/>
      <c r="BB45" s="18"/>
      <c r="BC45" s="18" t="str">
        <f t="shared" si="2"/>
        <v/>
      </c>
      <c r="BD45" s="18" t="str">
        <f t="shared" si="3"/>
        <v/>
      </c>
      <c r="BE45" s="18"/>
      <c r="BF45" s="18" t="str">
        <f t="shared" si="4"/>
        <v/>
      </c>
      <c r="BG45" s="18" t="str">
        <f t="shared" si="5"/>
        <v/>
      </c>
      <c r="BH45" s="18"/>
    </row>
    <row r="46" spans="1:60" ht="8.25" customHeight="1">
      <c r="A46" s="1"/>
      <c r="B46" s="2"/>
      <c r="C46" s="3"/>
      <c r="D46" s="138"/>
      <c r="E46" s="4"/>
      <c r="F46" s="5"/>
      <c r="G46" s="6"/>
      <c r="H46" s="7"/>
      <c r="I46" s="7"/>
      <c r="J46" s="6"/>
      <c r="K46" s="7"/>
      <c r="L46" s="69"/>
      <c r="M46" s="12"/>
      <c r="N46" s="12"/>
      <c r="O46" s="2"/>
      <c r="P46" s="56"/>
      <c r="Q46" s="9"/>
      <c r="R46" s="10"/>
      <c r="S46" s="11"/>
      <c r="T46" s="12"/>
      <c r="U46" s="12"/>
      <c r="V46" s="12"/>
      <c r="W46" s="12"/>
      <c r="X46" s="2"/>
      <c r="Y46" s="2"/>
      <c r="Z46" s="2"/>
      <c r="AA46" s="2"/>
      <c r="AB46" s="59"/>
      <c r="AC46" s="62"/>
      <c r="AD46" s="2"/>
      <c r="AE46" s="2"/>
      <c r="AF46" s="2"/>
      <c r="AG46" s="2"/>
      <c r="AH46" s="2"/>
      <c r="AI46" s="12"/>
      <c r="AJ46" s="12"/>
      <c r="AK46" s="12"/>
      <c r="AL46" s="13"/>
      <c r="AM46" s="11"/>
      <c r="AN46" s="12"/>
      <c r="AO46" s="4"/>
      <c r="AP46" s="14"/>
      <c r="AQ46" s="2"/>
      <c r="AR46" s="15"/>
      <c r="AS46" s="16"/>
      <c r="AT46" s="15"/>
      <c r="AU46" s="17"/>
      <c r="AV46" s="18"/>
      <c r="AW46" s="18" t="str">
        <f t="shared" si="0"/>
        <v/>
      </c>
      <c r="AX46" s="18" t="str">
        <f t="shared" si="1"/>
        <v/>
      </c>
      <c r="AY46" s="18"/>
      <c r="AZ46" s="18"/>
      <c r="BA46" s="18"/>
      <c r="BB46" s="18"/>
      <c r="BC46" s="18" t="str">
        <f t="shared" si="2"/>
        <v/>
      </c>
      <c r="BD46" s="18" t="str">
        <f t="shared" si="3"/>
        <v/>
      </c>
      <c r="BE46" s="18"/>
      <c r="BF46" s="18" t="str">
        <f t="shared" si="4"/>
        <v/>
      </c>
      <c r="BG46" s="18" t="str">
        <f t="shared" si="5"/>
        <v/>
      </c>
      <c r="BH46" s="18"/>
    </row>
    <row r="47" spans="1:60" ht="8.25" customHeight="1">
      <c r="A47" s="1"/>
      <c r="B47" s="2"/>
      <c r="C47" s="3"/>
      <c r="D47" s="138"/>
      <c r="E47" s="4"/>
      <c r="F47" s="5"/>
      <c r="G47" s="6"/>
      <c r="H47" s="7"/>
      <c r="I47" s="7"/>
      <c r="J47" s="6"/>
      <c r="K47" s="7"/>
      <c r="L47" s="69"/>
      <c r="M47" s="12"/>
      <c r="N47" s="12"/>
      <c r="O47" s="2"/>
      <c r="P47" s="56"/>
      <c r="Q47" s="9"/>
      <c r="R47" s="10"/>
      <c r="S47" s="11"/>
      <c r="T47" s="12"/>
      <c r="U47" s="12"/>
      <c r="V47" s="12"/>
      <c r="W47" s="12"/>
      <c r="X47" s="2"/>
      <c r="Y47" s="2"/>
      <c r="Z47" s="2"/>
      <c r="AA47" s="2"/>
      <c r="AB47" s="59"/>
      <c r="AC47" s="62"/>
      <c r="AD47" s="2"/>
      <c r="AE47" s="2"/>
      <c r="AF47" s="2"/>
      <c r="AG47" s="2"/>
      <c r="AH47" s="2"/>
      <c r="AI47" s="12"/>
      <c r="AJ47" s="12"/>
      <c r="AK47" s="12"/>
      <c r="AL47" s="13"/>
      <c r="AM47" s="11"/>
      <c r="AN47" s="12"/>
      <c r="AO47" s="4"/>
      <c r="AP47" s="14"/>
      <c r="AQ47" s="2"/>
      <c r="AR47" s="15"/>
      <c r="AS47" s="16"/>
      <c r="AT47" s="15"/>
      <c r="AU47" s="17"/>
      <c r="AV47" s="18"/>
      <c r="AW47" s="18" t="str">
        <f t="shared" si="0"/>
        <v/>
      </c>
      <c r="AX47" s="18" t="str">
        <f t="shared" si="1"/>
        <v/>
      </c>
      <c r="AY47" s="18"/>
      <c r="AZ47" s="18"/>
      <c r="BA47" s="18"/>
      <c r="BB47" s="18"/>
      <c r="BC47" s="18" t="str">
        <f t="shared" si="2"/>
        <v/>
      </c>
      <c r="BD47" s="18" t="str">
        <f t="shared" si="3"/>
        <v/>
      </c>
      <c r="BE47" s="18"/>
      <c r="BF47" s="18" t="str">
        <f t="shared" si="4"/>
        <v/>
      </c>
      <c r="BG47" s="18" t="str">
        <f t="shared" si="5"/>
        <v/>
      </c>
      <c r="BH47" s="18"/>
    </row>
    <row r="48" spans="1:60" ht="8.25" customHeight="1">
      <c r="A48" s="1"/>
      <c r="B48" s="2"/>
      <c r="C48" s="3"/>
      <c r="D48" s="138"/>
      <c r="E48" s="4"/>
      <c r="F48" s="5"/>
      <c r="G48" s="6"/>
      <c r="H48" s="7"/>
      <c r="I48" s="7"/>
      <c r="J48" s="6"/>
      <c r="K48" s="7"/>
      <c r="L48" s="69"/>
      <c r="M48" s="12"/>
      <c r="N48" s="12"/>
      <c r="O48" s="2"/>
      <c r="P48" s="56"/>
      <c r="Q48" s="9"/>
      <c r="R48" s="10"/>
      <c r="S48" s="11"/>
      <c r="T48" s="12"/>
      <c r="U48" s="12"/>
      <c r="V48" s="12"/>
      <c r="W48" s="12"/>
      <c r="X48" s="2"/>
      <c r="Y48" s="2"/>
      <c r="Z48" s="2"/>
      <c r="AA48" s="2"/>
      <c r="AB48" s="59"/>
      <c r="AC48" s="62"/>
      <c r="AD48" s="2"/>
      <c r="AE48" s="2"/>
      <c r="AF48" s="2"/>
      <c r="AG48" s="2"/>
      <c r="AH48" s="2"/>
      <c r="AI48" s="12"/>
      <c r="AJ48" s="12"/>
      <c r="AK48" s="12"/>
      <c r="AL48" s="13"/>
      <c r="AM48" s="11"/>
      <c r="AN48" s="12"/>
      <c r="AO48" s="4"/>
      <c r="AP48" s="14"/>
      <c r="AQ48" s="2"/>
      <c r="AR48" s="15"/>
      <c r="AS48" s="16"/>
      <c r="AT48" s="15"/>
      <c r="AU48" s="17"/>
      <c r="AV48" s="18"/>
      <c r="AW48" s="18" t="str">
        <f t="shared" si="0"/>
        <v/>
      </c>
      <c r="AX48" s="18" t="str">
        <f t="shared" si="1"/>
        <v/>
      </c>
      <c r="AY48" s="18"/>
      <c r="AZ48" s="18"/>
      <c r="BA48" s="18"/>
      <c r="BB48" s="18"/>
      <c r="BC48" s="18" t="str">
        <f t="shared" si="2"/>
        <v/>
      </c>
      <c r="BD48" s="18" t="str">
        <f t="shared" si="3"/>
        <v/>
      </c>
      <c r="BE48" s="18"/>
      <c r="BF48" s="18" t="str">
        <f t="shared" si="4"/>
        <v/>
      </c>
      <c r="BG48" s="18" t="str">
        <f t="shared" si="5"/>
        <v/>
      </c>
      <c r="BH48" s="18"/>
    </row>
    <row r="49" spans="1:60" ht="8.25" customHeight="1">
      <c r="A49" s="1"/>
      <c r="B49" s="2"/>
      <c r="C49" s="3"/>
      <c r="D49" s="138"/>
      <c r="E49" s="4"/>
      <c r="F49" s="5"/>
      <c r="G49" s="6"/>
      <c r="H49" s="7"/>
      <c r="I49" s="7"/>
      <c r="J49" s="6"/>
      <c r="K49" s="7"/>
      <c r="L49" s="69"/>
      <c r="M49" s="12"/>
      <c r="N49" s="12"/>
      <c r="O49" s="2"/>
      <c r="P49" s="56"/>
      <c r="Q49" s="9"/>
      <c r="R49" s="10"/>
      <c r="S49" s="11"/>
      <c r="T49" s="12"/>
      <c r="U49" s="12"/>
      <c r="V49" s="12"/>
      <c r="W49" s="12"/>
      <c r="X49" s="2"/>
      <c r="Y49" s="2"/>
      <c r="Z49" s="2"/>
      <c r="AA49" s="2"/>
      <c r="AB49" s="59"/>
      <c r="AC49" s="62"/>
      <c r="AD49" s="2"/>
      <c r="AE49" s="2"/>
      <c r="AF49" s="2"/>
      <c r="AG49" s="2"/>
      <c r="AH49" s="2"/>
      <c r="AI49" s="12"/>
      <c r="AJ49" s="12"/>
      <c r="AK49" s="12"/>
      <c r="AL49" s="13"/>
      <c r="AM49" s="11"/>
      <c r="AN49" s="12"/>
      <c r="AO49" s="4"/>
      <c r="AP49" s="14"/>
      <c r="AQ49" s="2"/>
      <c r="AR49" s="15"/>
      <c r="AS49" s="16"/>
      <c r="AT49" s="15"/>
      <c r="AU49" s="17"/>
      <c r="AV49" s="18"/>
      <c r="AW49" s="18" t="str">
        <f t="shared" si="0"/>
        <v/>
      </c>
      <c r="AX49" s="18" t="str">
        <f t="shared" si="1"/>
        <v/>
      </c>
      <c r="AY49" s="18"/>
      <c r="AZ49" s="18"/>
      <c r="BA49" s="18"/>
      <c r="BB49" s="18"/>
      <c r="BC49" s="18" t="str">
        <f t="shared" si="2"/>
        <v/>
      </c>
      <c r="BD49" s="18" t="str">
        <f t="shared" si="3"/>
        <v/>
      </c>
      <c r="BE49" s="18"/>
      <c r="BF49" s="18" t="str">
        <f t="shared" si="4"/>
        <v/>
      </c>
      <c r="BG49" s="18" t="str">
        <f t="shared" si="5"/>
        <v/>
      </c>
      <c r="BH49" s="18"/>
    </row>
    <row r="50" spans="1:60" ht="8.25" customHeight="1">
      <c r="A50" s="1"/>
      <c r="B50" s="2"/>
      <c r="C50" s="3"/>
      <c r="D50" s="138"/>
      <c r="E50" s="4"/>
      <c r="F50" s="5"/>
      <c r="G50" s="6"/>
      <c r="H50" s="7"/>
      <c r="I50" s="7"/>
      <c r="J50" s="6"/>
      <c r="K50" s="7"/>
      <c r="L50" s="69"/>
      <c r="M50" s="12"/>
      <c r="N50" s="12"/>
      <c r="O50" s="2"/>
      <c r="P50" s="56"/>
      <c r="Q50" s="9"/>
      <c r="R50" s="10"/>
      <c r="S50" s="11"/>
      <c r="T50" s="12"/>
      <c r="U50" s="12"/>
      <c r="V50" s="12"/>
      <c r="W50" s="12"/>
      <c r="X50" s="2"/>
      <c r="Y50" s="2"/>
      <c r="Z50" s="2"/>
      <c r="AA50" s="2"/>
      <c r="AB50" s="59"/>
      <c r="AC50" s="62"/>
      <c r="AD50" s="2"/>
      <c r="AE50" s="2"/>
      <c r="AF50" s="2"/>
      <c r="AG50" s="2"/>
      <c r="AH50" s="2"/>
      <c r="AI50" s="12"/>
      <c r="AJ50" s="12"/>
      <c r="AK50" s="12"/>
      <c r="AL50" s="13"/>
      <c r="AM50" s="11"/>
      <c r="AN50" s="12"/>
      <c r="AO50" s="4"/>
      <c r="AP50" s="14"/>
      <c r="AQ50" s="2"/>
      <c r="AR50" s="15"/>
      <c r="AS50" s="16"/>
      <c r="AT50" s="15"/>
      <c r="AU50" s="17"/>
      <c r="AV50" s="18"/>
      <c r="AW50" s="18" t="str">
        <f t="shared" si="0"/>
        <v/>
      </c>
      <c r="AX50" s="18" t="str">
        <f t="shared" si="1"/>
        <v/>
      </c>
      <c r="AY50" s="18"/>
      <c r="AZ50" s="18"/>
      <c r="BA50" s="18"/>
      <c r="BB50" s="18"/>
      <c r="BC50" s="18" t="str">
        <f t="shared" si="2"/>
        <v/>
      </c>
      <c r="BD50" s="18" t="str">
        <f t="shared" si="3"/>
        <v/>
      </c>
      <c r="BE50" s="18"/>
      <c r="BF50" s="18" t="str">
        <f t="shared" si="4"/>
        <v/>
      </c>
      <c r="BG50" s="18" t="str">
        <f t="shared" si="5"/>
        <v/>
      </c>
      <c r="BH50" s="18"/>
    </row>
    <row r="51" spans="1:60" ht="8.25" customHeight="1">
      <c r="A51" s="1"/>
      <c r="B51" s="2"/>
      <c r="C51" s="3"/>
      <c r="D51" s="138"/>
      <c r="E51" s="4"/>
      <c r="F51" s="5"/>
      <c r="G51" s="6"/>
      <c r="H51" s="7"/>
      <c r="I51" s="7"/>
      <c r="J51" s="6"/>
      <c r="K51" s="7"/>
      <c r="L51" s="69"/>
      <c r="M51" s="12"/>
      <c r="N51" s="12"/>
      <c r="O51" s="2"/>
      <c r="P51" s="56"/>
      <c r="Q51" s="9"/>
      <c r="R51" s="10"/>
      <c r="S51" s="11"/>
      <c r="T51" s="12"/>
      <c r="U51" s="12"/>
      <c r="V51" s="12"/>
      <c r="W51" s="12"/>
      <c r="X51" s="2"/>
      <c r="Y51" s="2"/>
      <c r="Z51" s="2"/>
      <c r="AA51" s="2"/>
      <c r="AB51" s="59"/>
      <c r="AC51" s="62"/>
      <c r="AD51" s="2"/>
      <c r="AE51" s="2"/>
      <c r="AF51" s="2"/>
      <c r="AG51" s="2"/>
      <c r="AH51" s="2"/>
      <c r="AI51" s="12"/>
      <c r="AJ51" s="12"/>
      <c r="AK51" s="12"/>
      <c r="AL51" s="13"/>
      <c r="AM51" s="11"/>
      <c r="AN51" s="12"/>
      <c r="AO51" s="4"/>
      <c r="AP51" s="14"/>
      <c r="AQ51" s="2"/>
      <c r="AR51" s="15"/>
      <c r="AS51" s="16"/>
      <c r="AT51" s="15"/>
      <c r="AU51" s="17"/>
      <c r="AV51" s="18"/>
      <c r="AW51" s="18" t="str">
        <f t="shared" si="0"/>
        <v/>
      </c>
      <c r="AX51" s="18" t="str">
        <f t="shared" si="1"/>
        <v/>
      </c>
      <c r="AY51" s="18"/>
      <c r="AZ51" s="18"/>
      <c r="BA51" s="18"/>
      <c r="BB51" s="18"/>
      <c r="BC51" s="18" t="str">
        <f t="shared" si="2"/>
        <v/>
      </c>
      <c r="BD51" s="18" t="str">
        <f t="shared" si="3"/>
        <v/>
      </c>
      <c r="BE51" s="18"/>
      <c r="BF51" s="18" t="str">
        <f t="shared" si="4"/>
        <v/>
      </c>
      <c r="BG51" s="18" t="str">
        <f t="shared" si="5"/>
        <v/>
      </c>
      <c r="BH51" s="18"/>
    </row>
    <row r="52" spans="1:60" ht="8.25" customHeight="1">
      <c r="A52" s="1"/>
      <c r="B52" s="2"/>
      <c r="C52" s="3"/>
      <c r="D52" s="138"/>
      <c r="E52" s="4"/>
      <c r="F52" s="5"/>
      <c r="G52" s="6"/>
      <c r="H52" s="7"/>
      <c r="I52" s="7"/>
      <c r="J52" s="6"/>
      <c r="K52" s="7"/>
      <c r="L52" s="69"/>
      <c r="M52" s="12"/>
      <c r="N52" s="12"/>
      <c r="O52" s="2"/>
      <c r="P52" s="56"/>
      <c r="Q52" s="9"/>
      <c r="R52" s="10"/>
      <c r="S52" s="11"/>
      <c r="T52" s="12"/>
      <c r="U52" s="12"/>
      <c r="V52" s="12"/>
      <c r="W52" s="12"/>
      <c r="X52" s="2"/>
      <c r="Y52" s="2"/>
      <c r="Z52" s="2"/>
      <c r="AA52" s="2"/>
      <c r="AB52" s="59"/>
      <c r="AC52" s="62"/>
      <c r="AD52" s="2"/>
      <c r="AE52" s="2"/>
      <c r="AF52" s="2"/>
      <c r="AG52" s="2"/>
      <c r="AH52" s="2"/>
      <c r="AI52" s="12"/>
      <c r="AJ52" s="12"/>
      <c r="AK52" s="12"/>
      <c r="AL52" s="13"/>
      <c r="AM52" s="11"/>
      <c r="AN52" s="12"/>
      <c r="AO52" s="4"/>
      <c r="AP52" s="14"/>
      <c r="AQ52" s="2"/>
      <c r="AR52" s="15"/>
      <c r="AS52" s="16"/>
      <c r="AT52" s="15"/>
      <c r="AU52" s="17"/>
      <c r="AV52" s="18"/>
      <c r="AW52" s="18" t="str">
        <f t="shared" si="0"/>
        <v/>
      </c>
      <c r="AX52" s="18" t="str">
        <f t="shared" si="1"/>
        <v/>
      </c>
      <c r="AY52" s="18"/>
      <c r="AZ52" s="18"/>
      <c r="BA52" s="18"/>
      <c r="BB52" s="18"/>
      <c r="BC52" s="18" t="str">
        <f t="shared" si="2"/>
        <v/>
      </c>
      <c r="BD52" s="18" t="str">
        <f t="shared" si="3"/>
        <v/>
      </c>
      <c r="BE52" s="18"/>
      <c r="BF52" s="18" t="str">
        <f t="shared" si="4"/>
        <v/>
      </c>
      <c r="BG52" s="18" t="str">
        <f t="shared" si="5"/>
        <v/>
      </c>
      <c r="BH52" s="18"/>
    </row>
    <row r="53" spans="1:60" ht="8.25" customHeight="1">
      <c r="A53" s="1"/>
      <c r="B53" s="2"/>
      <c r="C53" s="3"/>
      <c r="D53" s="138"/>
      <c r="E53" s="4"/>
      <c r="F53" s="5"/>
      <c r="G53" s="6"/>
      <c r="H53" s="7"/>
      <c r="I53" s="7"/>
      <c r="J53" s="6"/>
      <c r="K53" s="7"/>
      <c r="L53" s="69"/>
      <c r="M53" s="12"/>
      <c r="N53" s="12"/>
      <c r="O53" s="2"/>
      <c r="P53" s="56"/>
      <c r="Q53" s="9"/>
      <c r="R53" s="10"/>
      <c r="S53" s="11"/>
      <c r="T53" s="12"/>
      <c r="U53" s="12"/>
      <c r="V53" s="12"/>
      <c r="W53" s="12"/>
      <c r="X53" s="2"/>
      <c r="Y53" s="2"/>
      <c r="Z53" s="2"/>
      <c r="AA53" s="2"/>
      <c r="AB53" s="59"/>
      <c r="AC53" s="62"/>
      <c r="AD53" s="2"/>
      <c r="AE53" s="2"/>
      <c r="AF53" s="2"/>
      <c r="AG53" s="2"/>
      <c r="AH53" s="2"/>
      <c r="AI53" s="12"/>
      <c r="AJ53" s="12"/>
      <c r="AK53" s="12"/>
      <c r="AL53" s="13"/>
      <c r="AM53" s="11"/>
      <c r="AN53" s="12"/>
      <c r="AO53" s="4"/>
      <c r="AP53" s="14"/>
      <c r="AQ53" s="2"/>
      <c r="AR53" s="15"/>
      <c r="AS53" s="16"/>
      <c r="AT53" s="15"/>
      <c r="AU53" s="17"/>
      <c r="AV53" s="18"/>
      <c r="AW53" s="18" t="str">
        <f t="shared" si="0"/>
        <v/>
      </c>
      <c r="AX53" s="18" t="str">
        <f t="shared" si="1"/>
        <v/>
      </c>
      <c r="AY53" s="18"/>
      <c r="AZ53" s="18"/>
      <c r="BA53" s="18"/>
      <c r="BB53" s="18"/>
      <c r="BC53" s="18" t="str">
        <f t="shared" si="2"/>
        <v/>
      </c>
      <c r="BD53" s="18" t="str">
        <f t="shared" si="3"/>
        <v/>
      </c>
      <c r="BE53" s="18"/>
      <c r="BF53" s="18" t="str">
        <f t="shared" si="4"/>
        <v/>
      </c>
      <c r="BG53" s="18" t="str">
        <f t="shared" si="5"/>
        <v/>
      </c>
      <c r="BH53" s="18"/>
    </row>
    <row r="54" spans="1:60" ht="8.25" customHeight="1">
      <c r="A54" s="1"/>
      <c r="B54" s="2"/>
      <c r="C54" s="3"/>
      <c r="D54" s="138"/>
      <c r="E54" s="4"/>
      <c r="F54" s="5"/>
      <c r="G54" s="6"/>
      <c r="H54" s="7"/>
      <c r="I54" s="7"/>
      <c r="J54" s="6"/>
      <c r="K54" s="7"/>
      <c r="L54" s="69"/>
      <c r="M54" s="12"/>
      <c r="N54" s="12"/>
      <c r="O54" s="2"/>
      <c r="P54" s="56"/>
      <c r="Q54" s="9"/>
      <c r="R54" s="10"/>
      <c r="S54" s="11"/>
      <c r="T54" s="12"/>
      <c r="U54" s="12"/>
      <c r="V54" s="12"/>
      <c r="W54" s="12"/>
      <c r="X54" s="2"/>
      <c r="Y54" s="2"/>
      <c r="Z54" s="2"/>
      <c r="AA54" s="2"/>
      <c r="AB54" s="59"/>
      <c r="AC54" s="62"/>
      <c r="AD54" s="2"/>
      <c r="AE54" s="2"/>
      <c r="AF54" s="2"/>
      <c r="AG54" s="2"/>
      <c r="AH54" s="2"/>
      <c r="AI54" s="12"/>
      <c r="AJ54" s="12"/>
      <c r="AK54" s="12"/>
      <c r="AL54" s="13"/>
      <c r="AM54" s="11"/>
      <c r="AN54" s="12"/>
      <c r="AO54" s="4"/>
      <c r="AP54" s="14"/>
      <c r="AQ54" s="2"/>
      <c r="AR54" s="15"/>
      <c r="AS54" s="16"/>
      <c r="AT54" s="15"/>
      <c r="AU54" s="17"/>
      <c r="AV54" s="18"/>
      <c r="AW54" s="18" t="str">
        <f t="shared" si="0"/>
        <v/>
      </c>
      <c r="AX54" s="18" t="str">
        <f t="shared" si="1"/>
        <v/>
      </c>
      <c r="AY54" s="18"/>
      <c r="AZ54" s="18"/>
      <c r="BA54" s="18"/>
      <c r="BB54" s="18"/>
      <c r="BC54" s="18" t="str">
        <f t="shared" si="2"/>
        <v/>
      </c>
      <c r="BD54" s="18" t="str">
        <f t="shared" si="3"/>
        <v/>
      </c>
      <c r="BE54" s="18"/>
      <c r="BF54" s="18" t="str">
        <f t="shared" si="4"/>
        <v/>
      </c>
      <c r="BG54" s="18" t="str">
        <f t="shared" si="5"/>
        <v/>
      </c>
      <c r="BH54" s="18"/>
    </row>
    <row r="55" spans="1:60" ht="8.25" customHeight="1" thickBot="1">
      <c r="A55" s="31"/>
      <c r="B55" s="32"/>
      <c r="C55" s="33"/>
      <c r="D55" s="34"/>
      <c r="E55" s="35"/>
      <c r="F55" s="36"/>
      <c r="G55" s="32"/>
      <c r="H55" s="37"/>
      <c r="I55" s="37"/>
      <c r="J55" s="32"/>
      <c r="K55" s="37"/>
      <c r="L55" s="70"/>
      <c r="M55" s="39"/>
      <c r="N55" s="39"/>
      <c r="O55" s="32"/>
      <c r="P55" s="57"/>
      <c r="Q55" s="41"/>
      <c r="R55" s="42"/>
      <c r="S55" s="43"/>
      <c r="T55" s="39"/>
      <c r="U55" s="39"/>
      <c r="V55" s="39"/>
      <c r="W55" s="39"/>
      <c r="X55" s="39"/>
      <c r="Y55" s="39"/>
      <c r="Z55" s="39"/>
      <c r="AA55" s="39"/>
      <c r="AB55" s="60"/>
      <c r="AC55" s="63"/>
      <c r="AD55" s="39"/>
      <c r="AE55" s="39"/>
      <c r="AF55" s="39"/>
      <c r="AG55" s="39"/>
      <c r="AH55" s="39"/>
      <c r="AI55" s="39"/>
      <c r="AJ55" s="39"/>
      <c r="AK55" s="39"/>
      <c r="AL55" s="40"/>
      <c r="AM55" s="43"/>
      <c r="AN55" s="39"/>
      <c r="AO55" s="35"/>
      <c r="AP55" s="43"/>
      <c r="AQ55" s="37"/>
      <c r="AR55" s="37"/>
      <c r="AS55" s="32"/>
      <c r="AT55" s="37"/>
      <c r="AU55" s="44"/>
      <c r="AV55" s="18"/>
      <c r="AW55" s="18" t="str">
        <f t="shared" si="0"/>
        <v/>
      </c>
      <c r="AX55" s="18" t="str">
        <f t="shared" si="1"/>
        <v/>
      </c>
      <c r="AY55" s="18"/>
      <c r="AZ55" s="18"/>
      <c r="BA55" s="18"/>
      <c r="BB55" s="18"/>
      <c r="BC55" s="18" t="str">
        <f t="shared" si="2"/>
        <v/>
      </c>
      <c r="BD55" s="18" t="str">
        <f t="shared" si="3"/>
        <v/>
      </c>
      <c r="BE55" s="18"/>
      <c r="BF55" s="18" t="str">
        <f t="shared" si="4"/>
        <v/>
      </c>
      <c r="BG55" s="18" t="str">
        <f t="shared" si="5"/>
        <v/>
      </c>
      <c r="BH55" s="18"/>
    </row>
    <row r="56" spans="1:60" ht="9" customHeight="1" thickBot="1">
      <c r="A56" s="78"/>
      <c r="B56" s="74"/>
      <c r="C56" s="18"/>
      <c r="D56" s="78"/>
      <c r="E56" s="78"/>
      <c r="F56" s="79"/>
      <c r="G56" s="18"/>
      <c r="H56" s="79"/>
      <c r="I56" s="78"/>
      <c r="J56" s="75"/>
      <c r="K56" s="78"/>
      <c r="L56" s="337"/>
      <c r="M56" s="368"/>
      <c r="N56" s="368"/>
      <c r="O56" s="78"/>
      <c r="P56" s="78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18"/>
      <c r="AX56" s="18"/>
      <c r="AY56" s="18"/>
      <c r="AZ56" s="79"/>
      <c r="BA56" s="79"/>
      <c r="BB56" s="79"/>
      <c r="BC56" s="18"/>
      <c r="BD56" s="18"/>
      <c r="BE56" s="18"/>
      <c r="BF56" s="18"/>
      <c r="BG56" s="18"/>
      <c r="BH56" s="18"/>
    </row>
    <row r="57" spans="1:60" ht="8.25" customHeight="1">
      <c r="A57" s="78"/>
      <c r="B57" s="74"/>
      <c r="C57" s="78"/>
      <c r="D57" s="78"/>
      <c r="E57" s="78"/>
      <c r="F57" s="79"/>
      <c r="G57" s="18"/>
      <c r="H57" s="79"/>
      <c r="I57" s="78"/>
      <c r="J57" s="75"/>
      <c r="K57" s="78"/>
      <c r="L57" s="337"/>
      <c r="M57" s="368"/>
      <c r="N57" s="368"/>
      <c r="O57" s="78"/>
      <c r="P57" s="78"/>
      <c r="Q57" s="79"/>
      <c r="R57" s="144" t="s">
        <v>59</v>
      </c>
      <c r="S57" s="45" t="e">
        <f>AVERAGE(S$5:S55)</f>
        <v>#DIV/0!</v>
      </c>
      <c r="T57" s="45" t="e">
        <f>AVERAGE(T$5:T55)</f>
        <v>#DIV/0!</v>
      </c>
      <c r="U57" s="45" t="e">
        <f>AVERAGE(U$5:U55)</f>
        <v>#DIV/0!</v>
      </c>
      <c r="V57" s="45" t="e">
        <f>AVERAGE(V$5:V55)</f>
        <v>#DIV/0!</v>
      </c>
      <c r="W57" s="45" t="e">
        <f>AVERAGE(W$5:W55)</f>
        <v>#DIV/0!</v>
      </c>
      <c r="X57" s="45" t="e">
        <f>AVERAGE(X$5:X55)</f>
        <v>#DIV/0!</v>
      </c>
      <c r="Y57" s="45" t="s">
        <v>57</v>
      </c>
      <c r="Z57" s="45" t="s">
        <v>57</v>
      </c>
      <c r="AA57" s="45" t="e">
        <f>AVERAGE(AA$5:AA55)</f>
        <v>#DIV/0!</v>
      </c>
      <c r="AB57" s="45" t="e">
        <f>AVERAGE(AB$5:AB55)</f>
        <v>#DIV/0!</v>
      </c>
      <c r="AC57" s="45" t="e">
        <f>AVERAGE(AC$5:AC55)</f>
        <v>#DIV/0!</v>
      </c>
      <c r="AD57" s="45" t="e">
        <f>AVERAGE(AD$5:AD55)</f>
        <v>#DIV/0!</v>
      </c>
      <c r="AE57" s="45" t="e">
        <f>AVERAGE(AE$5:AE55)</f>
        <v>#DIV/0!</v>
      </c>
      <c r="AF57" s="45" t="e">
        <f>AVERAGE(AF$5:AF55)</f>
        <v>#DIV/0!</v>
      </c>
      <c r="AG57" s="45" t="e">
        <f>AVERAGE(AG$5:AG55)</f>
        <v>#DIV/0!</v>
      </c>
      <c r="AH57" s="45" t="e">
        <f>AVERAGE(AH$5:AH55)</f>
        <v>#DIV/0!</v>
      </c>
      <c r="AI57" s="45" t="s">
        <v>57</v>
      </c>
      <c r="AJ57" s="45" t="s">
        <v>57</v>
      </c>
      <c r="AK57" s="45" t="e">
        <f>AVERAGE(AK$5:AK55)</f>
        <v>#DIV/0!</v>
      </c>
      <c r="AL57" s="46" t="e">
        <f>AVERAGE(AL$5:AL55)</f>
        <v>#DIV/0!</v>
      </c>
      <c r="AM57" s="80"/>
      <c r="AN57" s="79"/>
      <c r="AO57" s="79"/>
      <c r="AP57" s="47" t="s">
        <v>60</v>
      </c>
      <c r="AQ57" s="45" t="s">
        <v>61</v>
      </c>
      <c r="AR57" s="45" t="s">
        <v>62</v>
      </c>
      <c r="AS57" s="46" t="s">
        <v>41</v>
      </c>
      <c r="AT57" s="79"/>
      <c r="AU57" s="79"/>
      <c r="AV57" s="79"/>
      <c r="AW57" s="76">
        <f t="shared" ref="AW57:BH57" si="6">SUM(AW5:AW55)</f>
        <v>22000</v>
      </c>
      <c r="AX57" s="76">
        <f t="shared" si="6"/>
        <v>22</v>
      </c>
      <c r="AY57" s="76">
        <f t="shared" si="6"/>
        <v>0</v>
      </c>
      <c r="AZ57" s="76">
        <f t="shared" si="6"/>
        <v>0</v>
      </c>
      <c r="BA57" s="76">
        <f t="shared" si="6"/>
        <v>0</v>
      </c>
      <c r="BB57" s="76">
        <f t="shared" si="6"/>
        <v>0</v>
      </c>
      <c r="BC57" s="76">
        <f t="shared" si="6"/>
        <v>44000</v>
      </c>
      <c r="BD57" s="76">
        <f t="shared" si="6"/>
        <v>44</v>
      </c>
      <c r="BE57" s="76">
        <f t="shared" si="6"/>
        <v>0</v>
      </c>
      <c r="BF57" s="76">
        <f t="shared" si="6"/>
        <v>2112</v>
      </c>
      <c r="BG57" s="76">
        <f t="shared" si="6"/>
        <v>22</v>
      </c>
      <c r="BH57" s="76">
        <f t="shared" si="6"/>
        <v>0</v>
      </c>
    </row>
    <row r="58" spans="1:60" ht="8.25" customHeight="1">
      <c r="A58" s="78"/>
      <c r="B58" s="74"/>
      <c r="C58" s="78"/>
      <c r="D58" s="78"/>
      <c r="E58" s="78"/>
      <c r="F58" s="79"/>
      <c r="G58" s="18"/>
      <c r="H58" s="79"/>
      <c r="I58" s="78"/>
      <c r="J58" s="75"/>
      <c r="K58" s="78"/>
      <c r="L58" s="337"/>
      <c r="M58" s="368"/>
      <c r="N58" s="368"/>
      <c r="O58" s="78"/>
      <c r="P58" s="78"/>
      <c r="Q58" s="79"/>
      <c r="R58" s="145" t="s">
        <v>63</v>
      </c>
      <c r="S58" s="2">
        <f>MIN(S$5:S55)</f>
        <v>0</v>
      </c>
      <c r="T58" s="2">
        <f>MIN(T$5:T55)</f>
        <v>0</v>
      </c>
      <c r="U58" s="2">
        <f>MIN(U$5:U55)</f>
        <v>0</v>
      </c>
      <c r="V58" s="2">
        <f>MIN(V$5:V55)</f>
        <v>0</v>
      </c>
      <c r="W58" s="2">
        <f>MIN(W$5:W55)</f>
        <v>0</v>
      </c>
      <c r="X58" s="2">
        <f>MIN(X$5:X55)</f>
        <v>0</v>
      </c>
      <c r="Y58" s="2" t="s">
        <v>57</v>
      </c>
      <c r="Z58" s="2" t="s">
        <v>57</v>
      </c>
      <c r="AA58" s="2">
        <f>MIN(AA$5:AA55)</f>
        <v>0</v>
      </c>
      <c r="AB58" s="2">
        <f>MIN(AB$5:AB55)</f>
        <v>0</v>
      </c>
      <c r="AC58" s="2">
        <f>MIN(AC$5:AC55)</f>
        <v>0</v>
      </c>
      <c r="AD58" s="2">
        <f>MIN(AD$5:AD55)</f>
        <v>0</v>
      </c>
      <c r="AE58" s="2">
        <f>MIN(AE$5:AE55)</f>
        <v>0</v>
      </c>
      <c r="AF58" s="2">
        <f>MIN(AF$5:AF55)</f>
        <v>0</v>
      </c>
      <c r="AG58" s="2">
        <f>MIN(AG$5:AG55)</f>
        <v>0</v>
      </c>
      <c r="AH58" s="2">
        <f>MIN(AH$5:AH55)</f>
        <v>0</v>
      </c>
      <c r="AI58" s="2" t="s">
        <v>57</v>
      </c>
      <c r="AJ58" s="2" t="s">
        <v>57</v>
      </c>
      <c r="AK58" s="2">
        <f>MIN(AK$5:AK55)</f>
        <v>0</v>
      </c>
      <c r="AL58" s="29">
        <f>MIN(AL$5:AL55)</f>
        <v>0</v>
      </c>
      <c r="AM58" s="80"/>
      <c r="AN58" s="79"/>
      <c r="AO58" s="79"/>
      <c r="AP58" s="48" t="s">
        <v>64</v>
      </c>
      <c r="AQ58" s="2" t="s">
        <v>65</v>
      </c>
      <c r="AR58" s="2">
        <f>SUM(AN5:AN55)</f>
        <v>88</v>
      </c>
      <c r="AS58" s="29">
        <f>SUM(AM5:AM55)</f>
        <v>0</v>
      </c>
      <c r="AT58" s="79"/>
      <c r="AU58" s="79"/>
      <c r="AV58" s="79"/>
      <c r="AW58" s="81" t="s">
        <v>45</v>
      </c>
      <c r="AX58" s="81" t="s">
        <v>46</v>
      </c>
      <c r="AY58" s="81" t="s">
        <v>47</v>
      </c>
      <c r="AZ58" s="81" t="s">
        <v>48</v>
      </c>
      <c r="BA58" s="81" t="s">
        <v>49</v>
      </c>
      <c r="BB58" s="81" t="s">
        <v>50</v>
      </c>
      <c r="BC58" s="81" t="s">
        <v>51</v>
      </c>
      <c r="BD58" s="81" t="s">
        <v>52</v>
      </c>
      <c r="BE58" s="81" t="s">
        <v>53</v>
      </c>
      <c r="BF58" s="81" t="s">
        <v>54</v>
      </c>
      <c r="BG58" s="77" t="s">
        <v>55</v>
      </c>
      <c r="BH58" s="81" t="s">
        <v>56</v>
      </c>
    </row>
    <row r="59" spans="1:60" ht="8.25" customHeight="1">
      <c r="A59" s="78"/>
      <c r="B59" s="74"/>
      <c r="C59" s="78"/>
      <c r="D59" s="78"/>
      <c r="E59" s="78"/>
      <c r="F59" s="79"/>
      <c r="G59" s="18"/>
      <c r="H59" s="79"/>
      <c r="I59" s="78"/>
      <c r="J59" s="75"/>
      <c r="K59" s="78"/>
      <c r="L59" s="337"/>
      <c r="M59" s="368"/>
      <c r="N59" s="368"/>
      <c r="O59" s="78"/>
      <c r="P59" s="78"/>
      <c r="Q59" s="79"/>
      <c r="R59" s="145" t="s">
        <v>146</v>
      </c>
      <c r="S59" s="2">
        <f>MAX(S$5:S55)</f>
        <v>0</v>
      </c>
      <c r="T59" s="2">
        <f>MAX(T$5:T55)</f>
        <v>0</v>
      </c>
      <c r="U59" s="2">
        <f>MAX(U$5:U55)</f>
        <v>0</v>
      </c>
      <c r="V59" s="2">
        <f>MAX(V$5:V55)</f>
        <v>0</v>
      </c>
      <c r="W59" s="2">
        <f>MAX(W$5:W55)</f>
        <v>0</v>
      </c>
      <c r="X59" s="2">
        <f>MAX(X$5:X55)</f>
        <v>0</v>
      </c>
      <c r="Y59" s="2" t="s">
        <v>57</v>
      </c>
      <c r="Z59" s="2" t="s">
        <v>57</v>
      </c>
      <c r="AA59" s="2">
        <f>MAX(AA$5:AA55)</f>
        <v>0</v>
      </c>
      <c r="AB59" s="2">
        <f>MAX(AB$5:AB55)</f>
        <v>0</v>
      </c>
      <c r="AC59" s="2">
        <f>MAX(AC$5:AC55)</f>
        <v>0</v>
      </c>
      <c r="AD59" s="2">
        <f>MAX(AD$5:AD55)</f>
        <v>0</v>
      </c>
      <c r="AE59" s="2">
        <f>MAX(AE$5:AE55)</f>
        <v>0</v>
      </c>
      <c r="AF59" s="2">
        <f>MAX(AF$5:AF55)</f>
        <v>0</v>
      </c>
      <c r="AG59" s="2">
        <f>MAX(AG$5:AG55)</f>
        <v>0</v>
      </c>
      <c r="AH59" s="2">
        <f>MAX(AH$5:AH55)</f>
        <v>0</v>
      </c>
      <c r="AI59" s="2" t="s">
        <v>57</v>
      </c>
      <c r="AJ59" s="2" t="s">
        <v>57</v>
      </c>
      <c r="AK59" s="2">
        <f>MAX(AK$5:AK55)</f>
        <v>0</v>
      </c>
      <c r="AL59" s="29">
        <f>MAX(AL$5:AL55)</f>
        <v>0</v>
      </c>
      <c r="AM59" s="80"/>
      <c r="AN59" s="79"/>
      <c r="AO59" s="79"/>
      <c r="AP59" s="48" t="s">
        <v>46</v>
      </c>
      <c r="AQ59" s="2">
        <f>AW57</f>
        <v>22000</v>
      </c>
      <c r="AR59" s="2">
        <f>AX57</f>
        <v>22</v>
      </c>
      <c r="AS59" s="29">
        <f>AY57</f>
        <v>0</v>
      </c>
      <c r="AT59" s="79"/>
      <c r="AU59" s="79"/>
      <c r="AV59" s="79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</row>
    <row r="60" spans="1:60" ht="8.25" customHeight="1">
      <c r="A60" s="78"/>
      <c r="B60" s="74"/>
      <c r="C60" s="78"/>
      <c r="D60" s="78"/>
      <c r="E60" s="78"/>
      <c r="F60" s="79"/>
      <c r="G60" s="18"/>
      <c r="H60" s="79"/>
      <c r="I60" s="78"/>
      <c r="J60" s="75"/>
      <c r="K60" s="78"/>
      <c r="L60" s="286"/>
      <c r="M60" s="18"/>
      <c r="N60" s="18"/>
      <c r="O60" s="78"/>
      <c r="P60" s="78"/>
      <c r="Q60" s="79"/>
      <c r="R60" s="145" t="s">
        <v>66</v>
      </c>
      <c r="S60" s="2" t="e">
        <f>STDEV(S$5:S55)</f>
        <v>#DIV/0!</v>
      </c>
      <c r="T60" s="2" t="e">
        <f>STDEV(T$5:T55)</f>
        <v>#DIV/0!</v>
      </c>
      <c r="U60" s="2" t="e">
        <f>STDEV(U$5:U55)</f>
        <v>#DIV/0!</v>
      </c>
      <c r="V60" s="2" t="e">
        <f>STDEV(V$5:V55)</f>
        <v>#DIV/0!</v>
      </c>
      <c r="W60" s="2" t="e">
        <f>STDEV(W$5:W55)</f>
        <v>#DIV/0!</v>
      </c>
      <c r="X60" s="2" t="e">
        <f>STDEV(X$5:X55)</f>
        <v>#DIV/0!</v>
      </c>
      <c r="Y60" s="2" t="s">
        <v>57</v>
      </c>
      <c r="Z60" s="2" t="s">
        <v>57</v>
      </c>
      <c r="AA60" s="2" t="e">
        <f>STDEV(AA$5:AA55)</f>
        <v>#DIV/0!</v>
      </c>
      <c r="AB60" s="2" t="e">
        <f>STDEV(AB$5:AB55)</f>
        <v>#DIV/0!</v>
      </c>
      <c r="AC60" s="2" t="e">
        <f>STDEV(AC$5:AC55)</f>
        <v>#DIV/0!</v>
      </c>
      <c r="AD60" s="2" t="e">
        <f>STDEV(AD$5:AD55)</f>
        <v>#DIV/0!</v>
      </c>
      <c r="AE60" s="2" t="e">
        <f>STDEV(AE$5:AE55)</f>
        <v>#DIV/0!</v>
      </c>
      <c r="AF60" s="2" t="e">
        <f>STDEV(AF$5:AF55)</f>
        <v>#DIV/0!</v>
      </c>
      <c r="AG60" s="2" t="e">
        <f>STDEV(AG$5:AG55)</f>
        <v>#DIV/0!</v>
      </c>
      <c r="AH60" s="2" t="e">
        <f>STDEV(AH$5:AH55)</f>
        <v>#DIV/0!</v>
      </c>
      <c r="AI60" s="2" t="s">
        <v>57</v>
      </c>
      <c r="AJ60" s="2" t="s">
        <v>57</v>
      </c>
      <c r="AK60" s="2" t="e">
        <f>STDEV(AK$5:AK55)</f>
        <v>#DIV/0!</v>
      </c>
      <c r="AL60" s="29" t="e">
        <f>STDEV(AL$5:AL55)</f>
        <v>#DIV/0!</v>
      </c>
      <c r="AM60" s="80"/>
      <c r="AN60" s="79"/>
      <c r="AO60" s="79"/>
      <c r="AP60" s="48" t="s">
        <v>49</v>
      </c>
      <c r="AQ60" s="2">
        <f>AZ57</f>
        <v>0</v>
      </c>
      <c r="AR60" s="2">
        <f>BA57</f>
        <v>0</v>
      </c>
      <c r="AS60" s="29">
        <f>BB57</f>
        <v>0</v>
      </c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</row>
    <row r="61" spans="1:60" ht="9" customHeight="1" thickBot="1">
      <c r="A61" s="78"/>
      <c r="B61" s="74"/>
      <c r="C61" s="78"/>
      <c r="D61" s="78"/>
      <c r="E61" s="78"/>
      <c r="F61" s="79"/>
      <c r="G61" s="18"/>
      <c r="H61" s="79"/>
      <c r="I61" s="78"/>
      <c r="J61" s="75"/>
      <c r="K61" s="78"/>
      <c r="L61" s="286"/>
      <c r="M61" s="18"/>
      <c r="N61" s="18"/>
      <c r="O61" s="78"/>
      <c r="P61" s="78"/>
      <c r="Q61" s="79"/>
      <c r="R61" s="146" t="s">
        <v>67</v>
      </c>
      <c r="S61" s="32" t="e">
        <f t="shared" ref="S61:X61" si="7">IF(S57+(3*S60)&gt;100,100,S57+(3*S60))</f>
        <v>#DIV/0!</v>
      </c>
      <c r="T61" s="32" t="e">
        <f t="shared" si="7"/>
        <v>#DIV/0!</v>
      </c>
      <c r="U61" s="32" t="e">
        <f t="shared" si="7"/>
        <v>#DIV/0!</v>
      </c>
      <c r="V61" s="32" t="e">
        <f t="shared" si="7"/>
        <v>#DIV/0!</v>
      </c>
      <c r="W61" s="32" t="e">
        <f t="shared" si="7"/>
        <v>#DIV/0!</v>
      </c>
      <c r="X61" s="32" t="e">
        <f t="shared" si="7"/>
        <v>#DIV/0!</v>
      </c>
      <c r="Y61" s="32" t="s">
        <v>57</v>
      </c>
      <c r="Z61" s="32" t="s">
        <v>57</v>
      </c>
      <c r="AA61" s="32" t="e">
        <f t="shared" ref="AA61:AH61" si="8">IF(AA57+(3*AA60)&gt;100,100,AA57+(3*AA60))</f>
        <v>#DIV/0!</v>
      </c>
      <c r="AB61" s="32" t="e">
        <f t="shared" si="8"/>
        <v>#DIV/0!</v>
      </c>
      <c r="AC61" s="32" t="e">
        <f t="shared" si="8"/>
        <v>#DIV/0!</v>
      </c>
      <c r="AD61" s="32" t="e">
        <f t="shared" si="8"/>
        <v>#DIV/0!</v>
      </c>
      <c r="AE61" s="32" t="e">
        <f t="shared" si="8"/>
        <v>#DIV/0!</v>
      </c>
      <c r="AF61" s="32" t="e">
        <f t="shared" si="8"/>
        <v>#DIV/0!</v>
      </c>
      <c r="AG61" s="32" t="e">
        <f t="shared" si="8"/>
        <v>#DIV/0!</v>
      </c>
      <c r="AH61" s="32" t="e">
        <f t="shared" si="8"/>
        <v>#DIV/0!</v>
      </c>
      <c r="AI61" s="32" t="s">
        <v>57</v>
      </c>
      <c r="AJ61" s="32" t="s">
        <v>57</v>
      </c>
      <c r="AK61" s="32" t="e">
        <f>IF(AK57+(3*AK60)&gt;100,100,AK57+(3*AK60))</f>
        <v>#DIV/0!</v>
      </c>
      <c r="AL61" s="49" t="e">
        <f>IF(AL57+(3*AL60)&gt;100,100,AL57+(3*AL60))</f>
        <v>#DIV/0!</v>
      </c>
      <c r="AM61" s="80"/>
      <c r="AN61" s="79"/>
      <c r="AO61" s="79"/>
      <c r="AP61" s="48" t="s">
        <v>52</v>
      </c>
      <c r="AQ61" s="2">
        <f>BC57</f>
        <v>44000</v>
      </c>
      <c r="AR61" s="2">
        <f>BD57</f>
        <v>44</v>
      </c>
      <c r="AS61" s="29">
        <f>BE57</f>
        <v>0</v>
      </c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</row>
    <row r="62" spans="1:60" ht="9" customHeight="1" thickBot="1">
      <c r="A62" s="78"/>
      <c r="B62" s="74"/>
      <c r="C62" s="78"/>
      <c r="D62" s="78"/>
      <c r="E62" s="78"/>
      <c r="F62" s="79"/>
      <c r="G62" s="18"/>
      <c r="H62" s="79"/>
      <c r="I62" s="78"/>
      <c r="J62" s="75"/>
      <c r="K62" s="78"/>
      <c r="L62" s="286"/>
      <c r="M62" s="18"/>
      <c r="N62" s="18"/>
      <c r="O62" s="78"/>
      <c r="P62" s="78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80"/>
      <c r="AI62" s="79"/>
      <c r="AJ62" s="79"/>
      <c r="AK62" s="79"/>
      <c r="AL62" s="79"/>
      <c r="AM62" s="79"/>
      <c r="AN62" s="79"/>
      <c r="AO62" s="79"/>
      <c r="AP62" s="50" t="s">
        <v>58</v>
      </c>
      <c r="AQ62" s="32">
        <f>BF57</f>
        <v>2112</v>
      </c>
      <c r="AR62" s="32">
        <f>BG57</f>
        <v>22</v>
      </c>
      <c r="AS62" s="49">
        <f>BH57</f>
        <v>0</v>
      </c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18" t="str">
        <f>IF(AND($AP62="HAST",NOT(ISBLANK($AT62))),$AU62*$AR62,"")</f>
        <v/>
      </c>
      <c r="BG62" s="18" t="str">
        <f>IF(AND($AP62="HAST",NOT(ISBLANK($AT62))),$AU62,"")</f>
        <v/>
      </c>
      <c r="BH62" s="18" t="str">
        <f>IF(AND($AP62="HAST",NOT(ISBLANK($AT62))),$AT62,"")</f>
        <v/>
      </c>
    </row>
    <row r="63" spans="1:60" ht="8.25" customHeight="1">
      <c r="R63" s="18" t="s">
        <v>69</v>
      </c>
      <c r="S63" s="73"/>
      <c r="T63" s="73"/>
    </row>
    <row r="64" spans="1:60" ht="8.25" customHeight="1">
      <c r="R64" s="18"/>
      <c r="S64" s="82" t="s">
        <v>70</v>
      </c>
      <c r="T64" s="73"/>
    </row>
    <row r="65" spans="18:19" ht="8.25" customHeight="1">
      <c r="R65" s="18"/>
      <c r="S65" s="82" t="s">
        <v>71</v>
      </c>
    </row>
    <row r="66" spans="18:19" ht="8.25" customHeight="1">
      <c r="R66" s="18"/>
      <c r="S66" s="82" t="s">
        <v>72</v>
      </c>
    </row>
    <row r="67" spans="18:19" ht="8.25" customHeight="1">
      <c r="R67" s="18"/>
      <c r="S67" s="82" t="s">
        <v>73</v>
      </c>
    </row>
    <row r="68" spans="18:19" ht="8.25" customHeight="1">
      <c r="R68" s="18"/>
      <c r="S68" s="82" t="s">
        <v>74</v>
      </c>
    </row>
  </sheetData>
  <mergeCells count="38">
    <mergeCell ref="AC1:AL2"/>
    <mergeCell ref="AM1:AO2"/>
    <mergeCell ref="AP1:AU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P2"/>
    <mergeCell ref="Q1:Q4"/>
    <mergeCell ref="R1:R4"/>
    <mergeCell ref="S1:AB2"/>
    <mergeCell ref="L59:N59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M3:M4"/>
    <mergeCell ref="N3:N4"/>
    <mergeCell ref="O3:O4"/>
    <mergeCell ref="P3:P4"/>
    <mergeCell ref="AP3:AP4"/>
    <mergeCell ref="AU3:AU4"/>
    <mergeCell ref="L56:N56"/>
    <mergeCell ref="L57:N57"/>
    <mergeCell ref="L58:N58"/>
    <mergeCell ref="AN3:AN4"/>
    <mergeCell ref="AO3:AO4"/>
  </mergeCells>
  <conditionalFormatting sqref="AT5:AT6 AT9:AT54">
    <cfRule type="cellIs" dxfId="10" priority="2" stopIfTrue="1" operator="equal">
      <formula>"ONGOING"</formula>
    </cfRule>
  </conditionalFormatting>
  <conditionalFormatting sqref="AT7:AT8">
    <cfRule type="cellIs" dxfId="0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4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CABGA (Au)</vt:lpstr>
      <vt:lpstr>CABGA (PCC)</vt:lpstr>
      <vt:lpstr>CABGA (Automotive - Au)</vt:lpstr>
      <vt:lpstr>CABGA (Automotive - Cu)</vt:lpstr>
      <vt:lpstr>PBGA (Au)</vt:lpstr>
      <vt:lpstr>PBGA (PCC)</vt:lpstr>
      <vt:lpstr>PBGA (Automotive - Au)</vt:lpstr>
      <vt:lpstr>sMLF (Au)</vt:lpstr>
      <vt:lpstr>sMLF (Bare Cu)</vt:lpstr>
      <vt:lpstr>sMLF (PCC)</vt:lpstr>
      <vt:lpstr>sMLF (Automotive-Au)</vt:lpstr>
      <vt:lpstr>PowerMLF (Au)</vt:lpstr>
      <vt:lpstr>PowerMLF (PCC)</vt:lpstr>
      <vt:lpstr>SiP-CA</vt:lpstr>
      <vt:lpstr>MODULES</vt:lpstr>
      <vt:lpstr>MODULES (Automotive-Au)</vt:lpstr>
      <vt:lpstr>'CABGA (Au)'!Print_Area</vt:lpstr>
      <vt:lpstr>'CABGA (Automotive - Au)'!Print_Area</vt:lpstr>
      <vt:lpstr>'CABGA (Automotive - Cu)'!Print_Area</vt:lpstr>
      <vt:lpstr>'CABGA (PCC)'!Print_Area</vt:lpstr>
      <vt:lpstr>MODULES!Print_Area</vt:lpstr>
      <vt:lpstr>'MODULES (Automotive-Au)'!Print_Area</vt:lpstr>
      <vt:lpstr>'PBGA (Au)'!Print_Area</vt:lpstr>
      <vt:lpstr>'PBGA (Automotive - Au)'!Print_Area</vt:lpstr>
      <vt:lpstr>'PBGA (PCC)'!Print_Area</vt:lpstr>
      <vt:lpstr>'PowerMLF (Au)'!Print_Area</vt:lpstr>
      <vt:lpstr>'PowerMLF (PCC)'!Print_Area</vt:lpstr>
      <vt:lpstr>'SiP-CA'!Print_Area</vt:lpstr>
      <vt:lpstr>'sMLF (Au)'!Print_Area</vt:lpstr>
      <vt:lpstr>'sMLF (Automotive-Au)'!Print_Area</vt:lpstr>
      <vt:lpstr>'sMLF (Bare Cu)'!Print_Area</vt:lpstr>
      <vt:lpstr>'sMLF (PCC)'!Print_Area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Corpuz</dc:creator>
  <cp:lastModifiedBy>Celia Corpuz</cp:lastModifiedBy>
  <cp:lastPrinted>2025-01-07T23:14:13Z</cp:lastPrinted>
  <dcterms:created xsi:type="dcterms:W3CDTF">2018-10-29T08:48:27Z</dcterms:created>
  <dcterms:modified xsi:type="dcterms:W3CDTF">2026-01-13T10:33:08Z</dcterms:modified>
</cp:coreProperties>
</file>